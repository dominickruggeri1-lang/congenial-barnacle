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te Card" sheetId="1" state="visible" r:id="rId3"/>
    <sheet name="Quote Buil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" authorId="0">
      <text>
        <r>
          <rPr>
            <sz val="10"/>
            <rFont val="Arial"/>
            <family val="2"/>
          </rPr>
          <t xml:space="preserve">Complimentary. Sell fixed at $0, cost absorbed.</t>
        </r>
      </text>
    </comment>
  </commentList>
</comments>
</file>

<file path=xl/sharedStrings.xml><?xml version="1.0" encoding="utf-8"?>
<sst xmlns="http://schemas.openxmlformats.org/spreadsheetml/2006/main" count="249" uniqueCount="197">
  <si>
    <t xml:space="preserve">ALD RATE CARD &amp; ASSUMPTIONS · KAWASAKI MOTORS MANUFACTURING CORP., U.S.A.</t>
  </si>
  <si>
    <t xml:space="preserve">Blue text on yellow = input. Every assumption carries its basis in column D. Defaults come from rate_card.yaml; rows marked JOB OVERRIDE were set in the job file.</t>
  </si>
  <si>
    <t xml:space="preserve">PRICING ASSUMPTIONS</t>
  </si>
  <si>
    <t xml:space="preserve">Energy Rate</t>
  </si>
  <si>
    <t xml:space="preserve">$/kWh</t>
  </si>
  <si>
    <t xml:space="preserve">JOB OVERRIDE. ASSUMPTION: Missouri statewide average industrial retail price, 2024 annual, U.S. EIA Electric Sales, Revenue and Average Price, Table 4 (7.87 cents/kWh). Not Kawasaki's Evergy tariff or bill. Replace with the plant's 12 month bill rate when available.</t>
  </si>
  <si>
    <t xml:space="preserve">Operating Hours</t>
  </si>
  <si>
    <t xml:space="preserve">hrs/yr</t>
  </si>
  <si>
    <t xml:space="preserve">ALD default 24/7/365 when the shift schedule is not known. Savings scale down in proportion if the plant does not run 24/7.</t>
  </si>
  <si>
    <t xml:space="preserve">kW per CFM</t>
  </si>
  <si>
    <t xml:space="preserve">kW/CFM</t>
  </si>
  <si>
    <t xml:space="preserve">ALD planning factor (DOE Sourcebook about 0.197 kW/CFM at 100 psi). On fixed speed machines saved CFM only becomes saved kW once a unit is turned off or load shifted.</t>
  </si>
  <si>
    <t xml:space="preserve">Materials / Service Margin Floor</t>
  </si>
  <si>
    <t xml:space="preserve">%</t>
  </si>
  <si>
    <t xml:space="preserve">ALD minimum gross margin. Sell = Cost / (1 - margin).</t>
  </si>
  <si>
    <t xml:space="preserve">Travel / Expense Margin</t>
  </si>
  <si>
    <t xml:space="preserve">ALD standard on pass-through travel.</t>
  </si>
  <si>
    <t xml:space="preserve">Labor Margin (leak detection)</t>
  </si>
  <si>
    <t xml:space="preserve">Fairlife / Fresno survey pattern (40%).</t>
  </si>
  <si>
    <t xml:space="preserve">Repair Labor Margin</t>
  </si>
  <si>
    <t xml:space="preserve">Fairlife / Petoskey repair pattern (50%).</t>
  </si>
  <si>
    <t xml:space="preserve">Price rounding increment</t>
  </si>
  <si>
    <t xml:space="preserve">$</t>
  </si>
  <si>
    <t xml:space="preserve">Customer price rounded UP to the next $250.</t>
  </si>
  <si>
    <t xml:space="preserve">SYSTEM / SIZING INPUTS</t>
  </si>
  <si>
    <t xml:space="preserve">Expected leak share</t>
  </si>
  <si>
    <t xml:space="preserve">ALD LD quote rule: expected leaks = 30% of operating capacity. The survey replaces this estimate.</t>
  </si>
  <si>
    <t xml:space="preserve">Guaranteed repair share</t>
  </si>
  <si>
    <t xml:space="preserve">Petoskey pattern: guarantee 30% of leak load. CFM guarantee, never a leak count.</t>
  </si>
  <si>
    <t xml:space="preserve">Avg CFM per leak (planning)</t>
  </si>
  <si>
    <t xml:space="preserve">CFM</t>
  </si>
  <si>
    <t xml:space="preserve">Lactalis tags ran 2-4 CFM each. Used only to size repair parts.</t>
  </si>
  <si>
    <t xml:space="preserve">Parts cost per leak</t>
  </si>
  <si>
    <t xml:space="preserve">$/leak</t>
  </si>
  <si>
    <t xml:space="preserve">ALD default $25/leak (AMG). Petoskey used $5. Sized to the full expected leak load, so it carries cushion.</t>
  </si>
  <si>
    <t xml:space="preserve">SERVICE RATE CARD (ALD COST)</t>
  </si>
  <si>
    <t xml:space="preserve">Tier 1 Field Technician</t>
  </si>
  <si>
    <t xml:space="preserve">$/day</t>
  </si>
  <si>
    <t xml:space="preserve">Tier 1 field technician cost, weekday. Weekend is $1,800/day.</t>
  </si>
  <si>
    <t xml:space="preserve">Flight, roundtrip per person</t>
  </si>
  <si>
    <t xml:space="preserve">$/person</t>
  </si>
  <si>
    <t xml:space="preserve">ALD rate card round trip per person. Use the actual fare when booked.</t>
  </si>
  <si>
    <t xml:space="preserve">Per Diem per person</t>
  </si>
  <si>
    <t xml:space="preserve">ALD rate card.</t>
  </si>
  <si>
    <t xml:space="preserve">Hotel</t>
  </si>
  <si>
    <t xml:space="preserve">$/night</t>
  </si>
  <si>
    <t xml:space="preserve">ALD rate card. Use the actual rate when booked.</t>
  </si>
  <si>
    <t xml:space="preserve">Rental Car (Enterprise, Corp Acct AQT962X)</t>
  </si>
  <si>
    <t xml:space="preserve">$/week</t>
  </si>
  <si>
    <t xml:space="preserve">Enterprise, Corp Acct AQT962X, one car shared by the crew.</t>
  </si>
  <si>
    <t xml:space="preserve">Air sample (ISO 8573-1) cost</t>
  </si>
  <si>
    <t xml:space="preserve">ISO 8573-1 air sample cost (LDL1 PM master template). Offered complimentary.</t>
  </si>
  <si>
    <t xml:space="preserve">DAYS</t>
  </si>
  <si>
    <t xml:space="preserve">Survey on-site days</t>
  </si>
  <si>
    <t xml:space="preserve">days</t>
  </si>
  <si>
    <t xml:space="preserve">JOB OVERRIDE. ASSUMPTION: 5 on-site days per tech, 2 techs. Expected leak load 1,961 CFM at about 3 CFM per leak is roughly 650 leaks across a 1,900 HP plant.</t>
  </si>
  <si>
    <t xml:space="preserve">Report days</t>
  </si>
  <si>
    <t xml:space="preserve">Office day to build the leak workbook and summary.</t>
  </si>
  <si>
    <t xml:space="preserve">Repair on-site days</t>
  </si>
  <si>
    <t xml:space="preserve">JOB OVERRIDE. ASSUMPTION: 10 on-site repair days per tech, same trip as the survey. Per Dom 10/13/26.</t>
  </si>
  <si>
    <t xml:space="preserve">Travel days (in/out)</t>
  </si>
  <si>
    <t xml:space="preserve">One fly-in day (per diem and hotel night). Fly-out happens on the last work day.</t>
  </si>
  <si>
    <t xml:space="preserve">Technicians on site</t>
  </si>
  <si>
    <t xml:space="preserve">techs</t>
  </si>
  <si>
    <t xml:space="preserve">Tier 1 techs on site for survey and repair.</t>
  </si>
  <si>
    <t xml:space="preserve">Weekend nights between survey and repair</t>
  </si>
  <si>
    <t xml:space="preserve">nights</t>
  </si>
  <si>
    <t xml:space="preserve">JOB OVERRIDE. ASSUMPTION: techs stay on site over two weekends (survey to repair, and mid repair).</t>
  </si>
  <si>
    <t xml:space="preserve">COMPRESSOR INVENTORY AND SIZING · Helen King (CAM Technologies) email, 10/13/26</t>
  </si>
  <si>
    <t xml:space="preserve">Sullair TS-20, fixed speed</t>
  </si>
  <si>
    <t xml:space="preserve">HP</t>
  </si>
  <si>
    <t xml:space="preserve">Per Helen King (CAM Technologies) email, 10/13/26.</t>
  </si>
  <si>
    <t xml:space="preserve">Ingersoll Rand R110i, fixed speed</t>
  </si>
  <si>
    <t xml:space="preserve">Ingersoll Rand (model not given), fixed speed</t>
  </si>
  <si>
    <t xml:space="preserve">Ingersoll Rand Ri160e, fixed speed</t>
  </si>
  <si>
    <t xml:space="preserve">Ingersoll Rand Ri160e, fixed speed (second unit)</t>
  </si>
  <si>
    <t xml:space="preserve">Ingersoll Rand (model not given), fixed speed (second unit)</t>
  </si>
  <si>
    <t xml:space="preserve">Ingersoll Rand R110i, fixed speed (second unit)</t>
  </si>
  <si>
    <t xml:space="preserve">Centac, centrifugal</t>
  </si>
  <si>
    <t xml:space="preserve">CFM per HP of 4.3 is a planning factor and may differ for a centrifugal.</t>
  </si>
  <si>
    <t xml:space="preserve">Unlisted unit (blank bullet in the email list)</t>
  </si>
  <si>
    <t xml:space="preserve">ASSUMPTION: 0 HP. Enter its HP if Helen confirms one.</t>
  </si>
  <si>
    <t xml:space="preserve">Listed HP total</t>
  </si>
  <si>
    <t xml:space="preserve">Calc.</t>
  </si>
  <si>
    <t xml:space="preserve">Share of equipment running, normal production</t>
  </si>
  <si>
    <t xml:space="preserve">JOB OVERRIDE. ASSUMPTION: 80% per Helen King ('we can probably assume they are running 80% of their equipment').</t>
  </si>
  <si>
    <t xml:space="preserve">Running HP</t>
  </si>
  <si>
    <t xml:space="preserve">CFM per HP</t>
  </si>
  <si>
    <t xml:space="preserve">CFM/HP</t>
  </si>
  <si>
    <t xml:space="preserve">ALD sizing factor when no measured plant flow exists. Treats running units as fully loaded.</t>
  </si>
  <si>
    <t xml:space="preserve">Sizing flow from HP (running HP x CFM per HP)</t>
  </si>
  <si>
    <t xml:space="preserve">Measured plant flow (leave blank if none)</t>
  </si>
  <si>
    <t xml:space="preserve">Enter logged average flow when available. It replaces the HP-based estimate.</t>
  </si>
  <si>
    <t xml:space="preserve">Sizing flow (plant air) used by the quote</t>
  </si>
  <si>
    <t xml:space="preserve">Calc. Measured flow when present, otherwise running HP x CFM per HP.</t>
  </si>
  <si>
    <t xml:space="preserve">Implied savings per CFM</t>
  </si>
  <si>
    <t xml:space="preserve">$/CFM/yr</t>
  </si>
  <si>
    <t xml:space="preserve">Calc: rate x hours x kW/CFM</t>
  </si>
  <si>
    <t xml:space="preserve">Expected leak load in 200 HP units</t>
  </si>
  <si>
    <t xml:space="preserve">units</t>
  </si>
  <si>
    <t xml:space="preserve">Calc. Savings only convert to kW when units can be turned off or unloaded.</t>
  </si>
  <si>
    <t xml:space="preserve">Guaranteed CFM in 200 HP units</t>
  </si>
  <si>
    <t xml:space="preserve">ALD QUOTE COST ENGINE · INTERNAL, NOT THE CUSTOMER COPY</t>
  </si>
  <si>
    <t xml:space="preserve">Quote No.</t>
  </si>
  <si>
    <t xml:space="preserve">ALD-2026-1013-KM</t>
  </si>
  <si>
    <t xml:space="preserve">Date</t>
  </si>
  <si>
    <t xml:space="preserve">Prepared For</t>
  </si>
  <si>
    <t xml:space="preserve">CAM Technologies (Helen King, Regional Sales Manager, Midwest)</t>
  </si>
  <si>
    <t xml:space="preserve">Valid Through</t>
  </si>
  <si>
    <t xml:space="preserve">End Client</t>
  </si>
  <si>
    <t xml:space="preserve">Kawasaki Motors Manufacturing Corp., U.S.A. · 28147 US-71 BUS, Maryville, MO 64468</t>
  </si>
  <si>
    <t xml:space="preserve">Prepared By</t>
  </si>
  <si>
    <t xml:space="preserve">Dominick Ruggeri</t>
  </si>
  <si>
    <t xml:space="preserve">Option</t>
  </si>
  <si>
    <t xml:space="preserve">Category</t>
  </si>
  <si>
    <t xml:space="preserve">Description</t>
  </si>
  <si>
    <t xml:space="preserve">Qty</t>
  </si>
  <si>
    <t xml:space="preserve">Unit</t>
  </si>
  <si>
    <t xml:space="preserve">Unit Cost ($)</t>
  </si>
  <si>
    <t xml:space="preserve">Target Margin %</t>
  </si>
  <si>
    <t xml:space="preserve">Unit Sell ($)</t>
  </si>
  <si>
    <t xml:space="preserve">Ext. Cost ($)</t>
  </si>
  <si>
    <t xml:space="preserve">Ext. Sell ($)</t>
  </si>
  <si>
    <t xml:space="preserve">Profit ($)</t>
  </si>
  <si>
    <t xml:space="preserve">Margin %</t>
  </si>
  <si>
    <t xml:space="preserve">Leak Detection Labor</t>
  </si>
  <si>
    <t xml:space="preserve">Tier 1 techs: (techs x survey on-site days) + report days</t>
  </si>
  <si>
    <t xml:space="preserve">day</t>
  </si>
  <si>
    <t xml:space="preserve">Air Sample</t>
  </si>
  <si>
    <t xml:space="preserve">Complimentary ISO 8573-1 air sample (cost absorbed, $0 sell)</t>
  </si>
  <si>
    <t xml:space="preserve">ea</t>
  </si>
  <si>
    <t xml:space="preserve">Travel</t>
  </si>
  <si>
    <t xml:space="preserve">Flight RT, per tech (Livermore to Kansas City, then drive)</t>
  </si>
  <si>
    <t xml:space="preserve">Hotel (techs x survey on-site days, arrive evening before)</t>
  </si>
  <si>
    <t xml:space="preserve">night</t>
  </si>
  <si>
    <t xml:space="preserve">Per diem (techs x (on-site days + fly-in day))</t>
  </si>
  <si>
    <t xml:space="preserve">Rental car (Enterprise, one week, shared car)</t>
  </si>
  <si>
    <t xml:space="preserve">wk</t>
  </si>
  <si>
    <t xml:space="preserve">Repair Labor</t>
  </si>
  <si>
    <t xml:space="preserve">Tier 1 techs: techs x repair on-site days</t>
  </si>
  <si>
    <t xml:space="preserve">Parts</t>
  </si>
  <si>
    <t xml:space="preserve">Repair parts: est. leaks in full expected leak load (leak load CFM / avg CFM per leak)</t>
  </si>
  <si>
    <t xml:space="preserve">leak</t>
  </si>
  <si>
    <t xml:space="preserve">Added hotel nights (techs x (repair days + weekend nights), same trip)</t>
  </si>
  <si>
    <t xml:space="preserve">Added per diem (techs x (repair days + weekend days))</t>
  </si>
  <si>
    <t xml:space="preserve">Added rental car (repair weeks beyond the survey week, same car)</t>
  </si>
  <si>
    <t xml:space="preserve">OPTION TOTALS</t>
  </si>
  <si>
    <t xml:space="preserve">Ext. Sell (calc)</t>
  </si>
  <si>
    <t xml:space="preserve">CUSTOMER PRICE (rounded up)</t>
  </si>
  <si>
    <t xml:space="preserve">Margin % (on customer price)</t>
  </si>
  <si>
    <t xml:space="preserve">Floor check (&gt;=floor)</t>
  </si>
  <si>
    <t xml:space="preserve">Survey</t>
  </si>
  <si>
    <t xml:space="preserve">Repair add-on</t>
  </si>
  <si>
    <t xml:space="preserve">Survey + repair add-on</t>
  </si>
  <si>
    <t xml:space="preserve">SAVINGS &amp; ROI</t>
  </si>
  <si>
    <t xml:space="preserve">Sizing flow (CFM)</t>
  </si>
  <si>
    <t xml:space="preserve">Rate Card</t>
  </si>
  <si>
    <t xml:space="preserve">Expected leak load (CFM)</t>
  </si>
  <si>
    <t xml:space="preserve">Flow x leak share</t>
  </si>
  <si>
    <t xml:space="preserve">Leak load kWh/yr</t>
  </si>
  <si>
    <t xml:space="preserve">CFM x kW/CFM x hrs</t>
  </si>
  <si>
    <t xml:space="preserve">Potential annual savings, full leak load ($)</t>
  </si>
  <si>
    <t xml:space="preserve">kWh x rate</t>
  </si>
  <si>
    <t xml:space="preserve">Guaranteed CFM (repair add-on)</t>
  </si>
  <si>
    <t xml:space="preserve">Leak load x guarantee share. ONE driver for the repair add-on.</t>
  </si>
  <si>
    <t xml:space="preserve">Guaranteed kW</t>
  </si>
  <si>
    <t xml:space="preserve">Guaranteed bhp</t>
  </si>
  <si>
    <t xml:space="preserve">kW / 0.746</t>
  </si>
  <si>
    <t xml:space="preserve">Guaranteed kWh/yr</t>
  </si>
  <si>
    <t xml:space="preserve">Guaranteed annual savings ($)</t>
  </si>
  <si>
    <t xml:space="preserve">Cost of delay, full leak load ($/month)</t>
  </si>
  <si>
    <t xml:space="preserve">Survey payback on potential savings (months)</t>
  </si>
  <si>
    <t xml:space="preserve">Repair add-on payback on guaranteed savings (months)</t>
  </si>
  <si>
    <t xml:space="preserve">Survey + repair add-on payback on guaranteed savings (months)</t>
  </si>
  <si>
    <t xml:space="preserve">Conservative: no credit for leaks found but not repaired</t>
  </si>
  <si>
    <t xml:space="preserve">Leak load bhp</t>
  </si>
  <si>
    <t xml:space="preserve">Leak load kW</t>
  </si>
  <si>
    <t xml:space="preserve">MARGIN HEADROOM</t>
  </si>
  <si>
    <t xml:space="preserve">Price at the margin floor, survey + repair add-on</t>
  </si>
  <si>
    <t xml:space="preserve">Customer price above the floor</t>
  </si>
  <si>
    <t xml:space="preserve">Guarantee if the survey measures only half the expected leak load</t>
  </si>
  <si>
    <t xml:space="preserve">Guarantee falls to the guarantee share of the measured leak load.</t>
  </si>
  <si>
    <t xml:space="preserve">Energy rate check</t>
  </si>
  <si>
    <t xml:space="preserve">Flags the rate card default left in place.</t>
  </si>
  <si>
    <t xml:space="preserve">SENSITIVITY (internal only, not on the customer copy)</t>
  </si>
  <si>
    <t xml:space="preserve">Alt hours per year (input)</t>
  </si>
  <si>
    <t xml:space="preserve">Alt demand as share of nameplate sizing (input)</t>
  </si>
  <si>
    <t xml:space="preserve">Full leak load savings at alt hours ($)</t>
  </si>
  <si>
    <t xml:space="preserve">Guaranteed savings at alt hours ($)</t>
  </si>
  <si>
    <t xml:space="preserve">Full leak load savings at alt demand share ($)</t>
  </si>
  <si>
    <t xml:space="preserve">Guaranteed savings at alt demand share ($)</t>
  </si>
  <si>
    <t xml:space="preserve">FIRST YEAR ROI (net first year savings / price)</t>
  </si>
  <si>
    <t xml:space="preserve">ROI, survey on full leak load (all leaks repaired)</t>
  </si>
  <si>
    <t xml:space="preserve">(Savings - price) / price, one year</t>
  </si>
  <si>
    <t xml:space="preserve">ROI, repair add-on on guaranteed savings</t>
  </si>
  <si>
    <t xml:space="preserve">ROI, survey + repair on full leak load</t>
  </si>
  <si>
    <t xml:space="preserve">ROI, survey + repair on guaranteed savings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</si>
</sst>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0.0000"/>
    <numFmt numFmtId="166" formatCode="#,##0;\(#,##0\);\-"/>
    <numFmt numFmtId="167" formatCode="0.0%;\(0.0%\);\-"/>
    <numFmt numFmtId="168" formatCode="\$#,##0;&quot;($&quot;#,##0\);\-"/>
    <numFmt numFmtId="169" formatCode="\$#,##0.00;&quot;($&quot;#,##0.00\);\-"/>
    <numFmt numFmtId="170" formatCode="0.0"/>
    <numFmt numFmtId="171" formatCode="m/d/yy"/>
    <numFmt numFmtId="172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0D0D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9.55" hidden="false" customHeight="false" outlineLevel="0" collapsed="false">
      <c r="A5" s="2" t="s">
        <v>3</v>
      </c>
      <c r="B5" s="4" t="n">
        <v>0.0787</v>
      </c>
      <c r="C5" s="2" t="s">
        <v>4</v>
      </c>
      <c r="D5" s="5" t="s">
        <v>5</v>
      </c>
    </row>
    <row r="6" customFormat="false" ht="26.85" hidden="false" customHeight="false" outlineLevel="0" collapsed="false">
      <c r="A6" s="2" t="s">
        <v>6</v>
      </c>
      <c r="B6" s="6" t="n">
        <v>8760</v>
      </c>
      <c r="C6" s="2" t="s">
        <v>7</v>
      </c>
      <c r="D6" s="5" t="s">
        <v>8</v>
      </c>
    </row>
    <row r="7" customFormat="false" ht="26.85" hidden="false" customHeight="false" outlineLevel="0" collapsed="false">
      <c r="A7" s="2" t="s">
        <v>9</v>
      </c>
      <c r="B7" s="6" t="n">
        <v>0.2</v>
      </c>
      <c r="C7" s="2" t="s">
        <v>10</v>
      </c>
      <c r="D7" s="5" t="s">
        <v>11</v>
      </c>
    </row>
    <row r="8" customFormat="false" ht="15" hidden="false" customHeight="false" outlineLevel="0" collapsed="false">
      <c r="A8" s="2" t="s">
        <v>12</v>
      </c>
      <c r="B8" s="7" t="n">
        <v>0.2</v>
      </c>
      <c r="C8" s="2" t="s">
        <v>13</v>
      </c>
      <c r="D8" s="5" t="s">
        <v>14</v>
      </c>
    </row>
    <row r="9" customFormat="false" ht="15" hidden="false" customHeight="false" outlineLevel="0" collapsed="false">
      <c r="A9" s="2" t="s">
        <v>15</v>
      </c>
      <c r="B9" s="7" t="n">
        <v>0.1</v>
      </c>
      <c r="C9" s="2" t="s">
        <v>13</v>
      </c>
      <c r="D9" s="5" t="s">
        <v>16</v>
      </c>
    </row>
    <row r="10" customFormat="false" ht="15" hidden="false" customHeight="false" outlineLevel="0" collapsed="false">
      <c r="A10" s="2" t="s">
        <v>17</v>
      </c>
      <c r="B10" s="7" t="n">
        <v>0.4</v>
      </c>
      <c r="C10" s="2" t="s">
        <v>13</v>
      </c>
      <c r="D10" s="5" t="s">
        <v>18</v>
      </c>
    </row>
    <row r="11" customFormat="false" ht="15" hidden="false" customHeight="false" outlineLevel="0" collapsed="false">
      <c r="A11" s="2" t="s">
        <v>19</v>
      </c>
      <c r="B11" s="7" t="n">
        <v>0.5</v>
      </c>
      <c r="C11" s="2" t="s">
        <v>13</v>
      </c>
      <c r="D11" s="5" t="s">
        <v>20</v>
      </c>
    </row>
    <row r="12" customFormat="false" ht="15" hidden="false" customHeight="false" outlineLevel="0" collapsed="false">
      <c r="A12" s="2" t="s">
        <v>21</v>
      </c>
      <c r="B12" s="8" t="n">
        <v>250</v>
      </c>
      <c r="C12" s="2" t="s">
        <v>22</v>
      </c>
      <c r="D12" s="5" t="s">
        <v>23</v>
      </c>
    </row>
    <row r="14" customFormat="false" ht="15" hidden="false" customHeight="false" outlineLevel="0" collapsed="false">
      <c r="A14" s="3" t="s">
        <v>24</v>
      </c>
    </row>
    <row r="15" customFormat="false" ht="15" hidden="false" customHeight="false" outlineLevel="0" collapsed="false">
      <c r="A15" s="2" t="s">
        <v>25</v>
      </c>
      <c r="B15" s="7" t="n">
        <v>0.3</v>
      </c>
      <c r="C15" s="2" t="s">
        <v>13</v>
      </c>
      <c r="D15" s="5" t="s">
        <v>26</v>
      </c>
    </row>
    <row r="16" customFormat="false" ht="15" hidden="false" customHeight="false" outlineLevel="0" collapsed="false">
      <c r="A16" s="2" t="s">
        <v>27</v>
      </c>
      <c r="B16" s="7" t="n">
        <v>0.3</v>
      </c>
      <c r="C16" s="2" t="s">
        <v>13</v>
      </c>
      <c r="D16" s="5" t="s">
        <v>28</v>
      </c>
    </row>
    <row r="17" customFormat="false" ht="15" hidden="false" customHeight="false" outlineLevel="0" collapsed="false">
      <c r="A17" s="2" t="s">
        <v>29</v>
      </c>
      <c r="B17" s="6" t="n">
        <v>3</v>
      </c>
      <c r="C17" s="2" t="s">
        <v>30</v>
      </c>
      <c r="D17" s="5" t="s">
        <v>31</v>
      </c>
    </row>
    <row r="18" customFormat="false" ht="15" hidden="false" customHeight="false" outlineLevel="0" collapsed="false">
      <c r="A18" s="2" t="s">
        <v>32</v>
      </c>
      <c r="B18" s="8" t="n">
        <v>25</v>
      </c>
      <c r="C18" s="2" t="s">
        <v>33</v>
      </c>
      <c r="D18" s="5" t="s">
        <v>34</v>
      </c>
    </row>
    <row r="20" customFormat="false" ht="15" hidden="false" customHeight="false" outlineLevel="0" collapsed="false">
      <c r="A20" s="3" t="s">
        <v>35</v>
      </c>
    </row>
    <row r="21" customFormat="false" ht="15" hidden="false" customHeight="false" outlineLevel="0" collapsed="false">
      <c r="A21" s="2" t="s">
        <v>36</v>
      </c>
      <c r="B21" s="8" t="n">
        <v>1200</v>
      </c>
      <c r="C21" s="2" t="s">
        <v>37</v>
      </c>
      <c r="D21" s="5" t="s">
        <v>38</v>
      </c>
    </row>
    <row r="22" customFormat="false" ht="15" hidden="false" customHeight="false" outlineLevel="0" collapsed="false">
      <c r="A22" s="2" t="s">
        <v>39</v>
      </c>
      <c r="B22" s="8" t="n">
        <v>1600</v>
      </c>
      <c r="C22" s="2" t="s">
        <v>40</v>
      </c>
      <c r="D22" s="5" t="s">
        <v>41</v>
      </c>
    </row>
    <row r="23" customFormat="false" ht="15" hidden="false" customHeight="false" outlineLevel="0" collapsed="false">
      <c r="A23" s="2" t="s">
        <v>42</v>
      </c>
      <c r="B23" s="8" t="n">
        <v>100</v>
      </c>
      <c r="C23" s="2" t="s">
        <v>37</v>
      </c>
      <c r="D23" s="5" t="s">
        <v>43</v>
      </c>
    </row>
    <row r="24" customFormat="false" ht="15" hidden="false" customHeight="false" outlineLevel="0" collapsed="false">
      <c r="A24" s="2" t="s">
        <v>44</v>
      </c>
      <c r="B24" s="8" t="n">
        <v>250</v>
      </c>
      <c r="C24" s="2" t="s">
        <v>45</v>
      </c>
      <c r="D24" s="5" t="s">
        <v>46</v>
      </c>
    </row>
    <row r="25" customFormat="false" ht="15" hidden="false" customHeight="false" outlineLevel="0" collapsed="false">
      <c r="A25" s="2" t="s">
        <v>47</v>
      </c>
      <c r="B25" s="8" t="n">
        <v>800</v>
      </c>
      <c r="C25" s="2" t="s">
        <v>48</v>
      </c>
      <c r="D25" s="5" t="s">
        <v>49</v>
      </c>
    </row>
    <row r="26" customFormat="false" ht="15" hidden="false" customHeight="false" outlineLevel="0" collapsed="false">
      <c r="A26" s="2" t="s">
        <v>50</v>
      </c>
      <c r="B26" s="8" t="n">
        <v>150</v>
      </c>
      <c r="C26" s="2" t="s">
        <v>22</v>
      </c>
      <c r="D26" s="5" t="s">
        <v>51</v>
      </c>
    </row>
    <row r="28" customFormat="false" ht="15" hidden="false" customHeight="false" outlineLevel="0" collapsed="false">
      <c r="A28" s="3" t="s">
        <v>52</v>
      </c>
    </row>
    <row r="29" customFormat="false" ht="26.85" hidden="false" customHeight="false" outlineLevel="0" collapsed="false">
      <c r="A29" s="2" t="s">
        <v>53</v>
      </c>
      <c r="B29" s="6" t="n">
        <v>5</v>
      </c>
      <c r="C29" s="2" t="s">
        <v>54</v>
      </c>
      <c r="D29" s="5" t="s">
        <v>55</v>
      </c>
    </row>
    <row r="30" customFormat="false" ht="15" hidden="false" customHeight="false" outlineLevel="0" collapsed="false">
      <c r="A30" s="2" t="s">
        <v>56</v>
      </c>
      <c r="B30" s="6" t="n">
        <v>1</v>
      </c>
      <c r="C30" s="2" t="s">
        <v>54</v>
      </c>
      <c r="D30" s="5" t="s">
        <v>57</v>
      </c>
    </row>
    <row r="31" customFormat="false" ht="15" hidden="false" customHeight="false" outlineLevel="0" collapsed="false">
      <c r="A31" s="2" t="s">
        <v>58</v>
      </c>
      <c r="B31" s="6" t="n">
        <v>10</v>
      </c>
      <c r="C31" s="2" t="s">
        <v>54</v>
      </c>
      <c r="D31" s="5" t="s">
        <v>59</v>
      </c>
    </row>
    <row r="32" customFormat="false" ht="15" hidden="false" customHeight="false" outlineLevel="0" collapsed="false">
      <c r="A32" s="2" t="s">
        <v>60</v>
      </c>
      <c r="B32" s="6" t="n">
        <v>1</v>
      </c>
      <c r="C32" s="2" t="s">
        <v>54</v>
      </c>
      <c r="D32" s="5" t="s">
        <v>61</v>
      </c>
    </row>
    <row r="33" customFormat="false" ht="15" hidden="false" customHeight="false" outlineLevel="0" collapsed="false">
      <c r="A33" s="2" t="s">
        <v>62</v>
      </c>
      <c r="B33" s="6" t="n">
        <v>2</v>
      </c>
      <c r="C33" s="2" t="s">
        <v>63</v>
      </c>
      <c r="D33" s="5" t="s">
        <v>64</v>
      </c>
    </row>
    <row r="34" customFormat="false" ht="15" hidden="false" customHeight="false" outlineLevel="0" collapsed="false">
      <c r="A34" s="2" t="s">
        <v>65</v>
      </c>
      <c r="B34" s="6" t="n">
        <v>4</v>
      </c>
      <c r="C34" s="2" t="s">
        <v>66</v>
      </c>
      <c r="D34" s="5" t="s">
        <v>67</v>
      </c>
    </row>
    <row r="36" customFormat="false" ht="15" hidden="false" customHeight="false" outlineLevel="0" collapsed="false">
      <c r="A36" s="3" t="s">
        <v>68</v>
      </c>
    </row>
    <row r="37" customFormat="false" ht="15" hidden="false" customHeight="false" outlineLevel="0" collapsed="false">
      <c r="A37" s="2" t="s">
        <v>69</v>
      </c>
      <c r="B37" s="6" t="n">
        <v>200</v>
      </c>
      <c r="C37" s="2" t="s">
        <v>70</v>
      </c>
      <c r="D37" s="2" t="s">
        <v>71</v>
      </c>
    </row>
    <row r="38" customFormat="false" ht="15" hidden="false" customHeight="false" outlineLevel="0" collapsed="false">
      <c r="A38" s="2" t="s">
        <v>72</v>
      </c>
      <c r="B38" s="6" t="n">
        <v>150</v>
      </c>
      <c r="C38" s="2" t="s">
        <v>70</v>
      </c>
      <c r="D38" s="2" t="s">
        <v>71</v>
      </c>
    </row>
    <row r="39" customFormat="false" ht="15" hidden="false" customHeight="false" outlineLevel="0" collapsed="false">
      <c r="A39" s="2" t="s">
        <v>73</v>
      </c>
      <c r="B39" s="6" t="n">
        <v>200</v>
      </c>
      <c r="C39" s="2" t="s">
        <v>70</v>
      </c>
      <c r="D39" s="2" t="s">
        <v>71</v>
      </c>
    </row>
    <row r="40" customFormat="false" ht="15" hidden="false" customHeight="false" outlineLevel="0" collapsed="false">
      <c r="A40" s="2" t="s">
        <v>74</v>
      </c>
      <c r="B40" s="6" t="n">
        <v>200</v>
      </c>
      <c r="C40" s="2" t="s">
        <v>70</v>
      </c>
      <c r="D40" s="2" t="s">
        <v>71</v>
      </c>
    </row>
    <row r="41" customFormat="false" ht="15" hidden="false" customHeight="false" outlineLevel="0" collapsed="false">
      <c r="A41" s="2" t="s">
        <v>75</v>
      </c>
      <c r="B41" s="6" t="n">
        <v>200</v>
      </c>
      <c r="C41" s="2" t="s">
        <v>70</v>
      </c>
      <c r="D41" s="2" t="s">
        <v>71</v>
      </c>
    </row>
    <row r="42" customFormat="false" ht="15" hidden="false" customHeight="false" outlineLevel="0" collapsed="false">
      <c r="A42" s="2" t="s">
        <v>76</v>
      </c>
      <c r="B42" s="6" t="n">
        <v>200</v>
      </c>
      <c r="C42" s="2" t="s">
        <v>70</v>
      </c>
      <c r="D42" s="2" t="s">
        <v>71</v>
      </c>
    </row>
    <row r="43" customFormat="false" ht="15" hidden="false" customHeight="false" outlineLevel="0" collapsed="false">
      <c r="A43" s="2" t="s">
        <v>77</v>
      </c>
      <c r="B43" s="6" t="n">
        <v>150</v>
      </c>
      <c r="C43" s="2" t="s">
        <v>70</v>
      </c>
      <c r="D43" s="2" t="s">
        <v>71</v>
      </c>
    </row>
    <row r="44" customFormat="false" ht="15" hidden="false" customHeight="false" outlineLevel="0" collapsed="false">
      <c r="A44" s="2" t="s">
        <v>78</v>
      </c>
      <c r="B44" s="6" t="n">
        <v>600</v>
      </c>
      <c r="C44" s="2" t="s">
        <v>70</v>
      </c>
      <c r="D44" s="2" t="s">
        <v>79</v>
      </c>
    </row>
    <row r="45" customFormat="false" ht="15" hidden="false" customHeight="false" outlineLevel="0" collapsed="false">
      <c r="A45" s="2" t="s">
        <v>80</v>
      </c>
      <c r="B45" s="6" t="n">
        <v>0</v>
      </c>
      <c r="C45" s="2" t="s">
        <v>70</v>
      </c>
      <c r="D45" s="2" t="s">
        <v>81</v>
      </c>
    </row>
    <row r="46" customFormat="false" ht="15" hidden="false" customHeight="false" outlineLevel="0" collapsed="false">
      <c r="A46" s="2" t="s">
        <v>82</v>
      </c>
      <c r="B46" s="9" t="n">
        <f aca="false">SUM(B37:B45)</f>
        <v>1900</v>
      </c>
      <c r="C46" s="10" t="s">
        <v>70</v>
      </c>
      <c r="D46" s="10" t="s">
        <v>83</v>
      </c>
    </row>
    <row r="47" customFormat="false" ht="26.85" hidden="false" customHeight="false" outlineLevel="0" collapsed="false">
      <c r="A47" s="2" t="s">
        <v>84</v>
      </c>
      <c r="B47" s="7" t="n">
        <v>0.8</v>
      </c>
      <c r="C47" s="2" t="s">
        <v>13</v>
      </c>
      <c r="D47" s="5" t="s">
        <v>85</v>
      </c>
    </row>
    <row r="48" customFormat="false" ht="15" hidden="false" customHeight="false" outlineLevel="0" collapsed="false">
      <c r="A48" s="2" t="s">
        <v>86</v>
      </c>
      <c r="B48" s="9" t="n">
        <f aca="false">$B$46*$B$47</f>
        <v>1520</v>
      </c>
      <c r="C48" s="10" t="s">
        <v>70</v>
      </c>
      <c r="D48" s="10" t="s">
        <v>83</v>
      </c>
    </row>
    <row r="49" customFormat="false" ht="15" hidden="false" customHeight="false" outlineLevel="0" collapsed="false">
      <c r="A49" s="2" t="s">
        <v>87</v>
      </c>
      <c r="B49" s="6" t="n">
        <v>4.3</v>
      </c>
      <c r="C49" s="2" t="s">
        <v>88</v>
      </c>
      <c r="D49" s="5" t="s">
        <v>89</v>
      </c>
    </row>
    <row r="50" customFormat="false" ht="15" hidden="false" customHeight="false" outlineLevel="0" collapsed="false">
      <c r="A50" s="2" t="s">
        <v>90</v>
      </c>
      <c r="B50" s="9" t="n">
        <f aca="false">ROUND($B$48*$B$49,0)</f>
        <v>6536</v>
      </c>
      <c r="C50" s="10" t="s">
        <v>30</v>
      </c>
      <c r="D50" s="10" t="s">
        <v>83</v>
      </c>
    </row>
    <row r="51" customFormat="false" ht="15" hidden="false" customHeight="false" outlineLevel="0" collapsed="false">
      <c r="A51" s="2" t="s">
        <v>91</v>
      </c>
      <c r="B51" s="6"/>
      <c r="C51" s="10" t="s">
        <v>30</v>
      </c>
      <c r="D51" s="10" t="s">
        <v>92</v>
      </c>
    </row>
    <row r="52" customFormat="false" ht="15" hidden="false" customHeight="false" outlineLevel="0" collapsed="false">
      <c r="A52" s="3" t="s">
        <v>93</v>
      </c>
      <c r="B52" s="9" t="n">
        <f aca="false">IF(ISNUMBER($B$51),$B$51,$B$50)</f>
        <v>6536</v>
      </c>
      <c r="C52" s="10" t="s">
        <v>30</v>
      </c>
      <c r="D52" s="10" t="s">
        <v>94</v>
      </c>
    </row>
    <row r="53" customFormat="false" ht="15" hidden="false" customHeight="false" outlineLevel="0" collapsed="false">
      <c r="A53" s="2" t="s">
        <v>95</v>
      </c>
      <c r="B53" s="11" t="n">
        <f aca="false">$B$5*$B$6*$B$7</f>
        <v>137.8824</v>
      </c>
      <c r="C53" s="10" t="s">
        <v>96</v>
      </c>
      <c r="D53" s="10" t="s">
        <v>97</v>
      </c>
    </row>
    <row r="54" customFormat="false" ht="15" hidden="false" customHeight="false" outlineLevel="0" collapsed="false">
      <c r="A54" s="2" t="s">
        <v>98</v>
      </c>
      <c r="B54" s="12" t="n">
        <f aca="false">$B$52*$B$15/(200*$B$49)</f>
        <v>2.28</v>
      </c>
      <c r="C54" s="10" t="s">
        <v>99</v>
      </c>
      <c r="D54" s="10" t="s">
        <v>100</v>
      </c>
    </row>
    <row r="55" customFormat="false" ht="15" hidden="false" customHeight="false" outlineLevel="0" collapsed="false">
      <c r="A55" s="2" t="s">
        <v>101</v>
      </c>
      <c r="B55" s="12" t="n">
        <f aca="false">$B$52*$B$15*$B$16/(200*$B$49)</f>
        <v>0.684</v>
      </c>
      <c r="C55" s="10" t="s">
        <v>99</v>
      </c>
      <c r="D55" s="1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14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3" t="s">
        <v>103</v>
      </c>
      <c r="C3" s="13" t="s">
        <v>104</v>
      </c>
      <c r="F3" s="3" t="s">
        <v>105</v>
      </c>
      <c r="G3" s="14" t="n">
        <v>46308</v>
      </c>
    </row>
    <row r="4" customFormat="false" ht="15" hidden="false" customHeight="false" outlineLevel="0" collapsed="false">
      <c r="A4" s="3" t="s">
        <v>106</v>
      </c>
      <c r="C4" s="13" t="s">
        <v>107</v>
      </c>
      <c r="F4" s="3" t="s">
        <v>108</v>
      </c>
      <c r="G4" s="15" t="n">
        <f aca="false">G3+30</f>
        <v>46338</v>
      </c>
    </row>
    <row r="5" customFormat="false" ht="15" hidden="false" customHeight="false" outlineLevel="0" collapsed="false">
      <c r="A5" s="3" t="s">
        <v>109</v>
      </c>
      <c r="C5" s="13" t="s">
        <v>110</v>
      </c>
      <c r="F5" s="3" t="s">
        <v>111</v>
      </c>
      <c r="G5" s="13" t="s">
        <v>112</v>
      </c>
    </row>
    <row r="8" customFormat="false" ht="26.85" hidden="false" customHeight="false" outlineLevel="0" collapsed="false">
      <c r="A8" s="16" t="s">
        <v>113</v>
      </c>
      <c r="B8" s="16" t="s">
        <v>114</v>
      </c>
      <c r="C8" s="16" t="s">
        <v>115</v>
      </c>
      <c r="D8" s="16" t="s">
        <v>116</v>
      </c>
      <c r="E8" s="16" t="s">
        <v>117</v>
      </c>
      <c r="F8" s="16" t="s">
        <v>118</v>
      </c>
      <c r="G8" s="16" t="s">
        <v>119</v>
      </c>
      <c r="H8" s="16" t="s">
        <v>120</v>
      </c>
      <c r="I8" s="16" t="s">
        <v>121</v>
      </c>
      <c r="J8" s="16" t="s">
        <v>122</v>
      </c>
      <c r="K8" s="16" t="s">
        <v>123</v>
      </c>
      <c r="L8" s="16" t="s">
        <v>124</v>
      </c>
    </row>
    <row r="9" customFormat="false" ht="15" hidden="false" customHeight="false" outlineLevel="0" collapsed="false">
      <c r="A9" s="17" t="n">
        <v>1</v>
      </c>
      <c r="B9" s="17" t="s">
        <v>125</v>
      </c>
      <c r="C9" s="18" t="s">
        <v>126</v>
      </c>
      <c r="D9" s="19" t="n">
        <f aca="false">'Rate Card'!$B$33*'Rate Card'!$B$29+'Rate Card'!$B$30</f>
        <v>11</v>
      </c>
      <c r="E9" s="17" t="s">
        <v>127</v>
      </c>
      <c r="F9" s="20" t="n">
        <f aca="false">'Rate Card'!$B$21</f>
        <v>1200</v>
      </c>
      <c r="G9" s="21" t="n">
        <f aca="false">'Rate Card'!$B$10</f>
        <v>0.4</v>
      </c>
      <c r="H9" s="22" t="n">
        <f aca="false">IFERROR(F9/(1-G9),0)</f>
        <v>2000</v>
      </c>
      <c r="I9" s="22" t="n">
        <f aca="false">D9*F9</f>
        <v>13200</v>
      </c>
      <c r="J9" s="22" t="n">
        <f aca="false">D9*H9</f>
        <v>22000</v>
      </c>
      <c r="K9" s="22" t="n">
        <f aca="false">J9-I9</f>
        <v>8800</v>
      </c>
      <c r="L9" s="23" t="n">
        <f aca="false">IFERROR(K9/J9,0)</f>
        <v>0.4</v>
      </c>
    </row>
    <row r="10" customFormat="false" ht="15" hidden="false" customHeight="false" outlineLevel="0" collapsed="false">
      <c r="A10" s="17" t="n">
        <v>1</v>
      </c>
      <c r="B10" s="17" t="s">
        <v>128</v>
      </c>
      <c r="C10" s="18" t="s">
        <v>129</v>
      </c>
      <c r="D10" s="19" t="n">
        <v>1</v>
      </c>
      <c r="E10" s="17" t="s">
        <v>130</v>
      </c>
      <c r="F10" s="20" t="n">
        <f aca="false">'Rate Card'!$B$26</f>
        <v>150</v>
      </c>
      <c r="G10" s="24" t="n">
        <v>0</v>
      </c>
      <c r="H10" s="25" t="n">
        <v>0</v>
      </c>
      <c r="I10" s="22" t="n">
        <f aca="false">D10*F10</f>
        <v>150</v>
      </c>
      <c r="J10" s="22" t="n">
        <f aca="false">D10*H10</f>
        <v>0</v>
      </c>
      <c r="K10" s="22" t="n">
        <f aca="false">J10-I10</f>
        <v>-150</v>
      </c>
      <c r="L10" s="23" t="n">
        <f aca="false">IFERROR(K10/J10,0)</f>
        <v>0</v>
      </c>
    </row>
    <row r="11" customFormat="false" ht="15" hidden="false" customHeight="false" outlineLevel="0" collapsed="false">
      <c r="A11" s="17" t="n">
        <v>1</v>
      </c>
      <c r="B11" s="17" t="s">
        <v>131</v>
      </c>
      <c r="C11" s="18" t="s">
        <v>132</v>
      </c>
      <c r="D11" s="19" t="n">
        <f aca="false">'Rate Card'!$B$33</f>
        <v>2</v>
      </c>
      <c r="E11" s="17" t="s">
        <v>130</v>
      </c>
      <c r="F11" s="20" t="n">
        <f aca="false">'Rate Card'!$B$22</f>
        <v>1600</v>
      </c>
      <c r="G11" s="21" t="n">
        <f aca="false">'Rate Card'!$B$9</f>
        <v>0.1</v>
      </c>
      <c r="H11" s="22" t="n">
        <f aca="false">IFERROR(F11/(1-G11),0)</f>
        <v>1777.77777777778</v>
      </c>
      <c r="I11" s="22" t="n">
        <f aca="false">D11*F11</f>
        <v>3200</v>
      </c>
      <c r="J11" s="22" t="n">
        <f aca="false">D11*H11</f>
        <v>3555.55555555556</v>
      </c>
      <c r="K11" s="22" t="n">
        <f aca="false">J11-I11</f>
        <v>355.555555555556</v>
      </c>
      <c r="L11" s="23" t="n">
        <f aca="false">IFERROR(K11/J11,0)</f>
        <v>0.1</v>
      </c>
    </row>
    <row r="12" customFormat="false" ht="15" hidden="false" customHeight="false" outlineLevel="0" collapsed="false">
      <c r="A12" s="17" t="n">
        <v>1</v>
      </c>
      <c r="B12" s="17" t="s">
        <v>131</v>
      </c>
      <c r="C12" s="18" t="s">
        <v>133</v>
      </c>
      <c r="D12" s="19" t="n">
        <f aca="false">'Rate Card'!$B$33*'Rate Card'!$B$29</f>
        <v>10</v>
      </c>
      <c r="E12" s="17" t="s">
        <v>134</v>
      </c>
      <c r="F12" s="20" t="n">
        <f aca="false">'Rate Card'!$B$24</f>
        <v>250</v>
      </c>
      <c r="G12" s="21" t="n">
        <f aca="false">'Rate Card'!$B$9</f>
        <v>0.1</v>
      </c>
      <c r="H12" s="22" t="n">
        <f aca="false">IFERROR(F12/(1-G12),0)</f>
        <v>277.777777777778</v>
      </c>
      <c r="I12" s="22" t="n">
        <f aca="false">D12*F12</f>
        <v>2500</v>
      </c>
      <c r="J12" s="22" t="n">
        <f aca="false">D12*H12</f>
        <v>2777.77777777778</v>
      </c>
      <c r="K12" s="22" t="n">
        <f aca="false">J12-I12</f>
        <v>277.777777777778</v>
      </c>
      <c r="L12" s="23" t="n">
        <f aca="false">IFERROR(K12/J12,0)</f>
        <v>0.1</v>
      </c>
    </row>
    <row r="13" customFormat="false" ht="15" hidden="false" customHeight="false" outlineLevel="0" collapsed="false">
      <c r="A13" s="17" t="n">
        <v>1</v>
      </c>
      <c r="B13" s="17" t="s">
        <v>131</v>
      </c>
      <c r="C13" s="18" t="s">
        <v>135</v>
      </c>
      <c r="D13" s="19" t="n">
        <f aca="false">'Rate Card'!$B$33*('Rate Card'!$B$29+'Rate Card'!$B$32)</f>
        <v>12</v>
      </c>
      <c r="E13" s="17" t="s">
        <v>127</v>
      </c>
      <c r="F13" s="20" t="n">
        <f aca="false">'Rate Card'!$B$23</f>
        <v>100</v>
      </c>
      <c r="G13" s="21" t="n">
        <f aca="false">'Rate Card'!$B$9</f>
        <v>0.1</v>
      </c>
      <c r="H13" s="22" t="n">
        <f aca="false">IFERROR(F13/(1-G13),0)</f>
        <v>111.111111111111</v>
      </c>
      <c r="I13" s="22" t="n">
        <f aca="false">D13*F13</f>
        <v>1200</v>
      </c>
      <c r="J13" s="22" t="n">
        <f aca="false">D13*H13</f>
        <v>1333.33333333333</v>
      </c>
      <c r="K13" s="22" t="n">
        <f aca="false">J13-I13</f>
        <v>133.333333333333</v>
      </c>
      <c r="L13" s="23" t="n">
        <f aca="false">IFERROR(K13/J13,0)</f>
        <v>0.1</v>
      </c>
    </row>
    <row r="14" customFormat="false" ht="15" hidden="false" customHeight="false" outlineLevel="0" collapsed="false">
      <c r="A14" s="17" t="n">
        <v>1</v>
      </c>
      <c r="B14" s="17" t="s">
        <v>131</v>
      </c>
      <c r="C14" s="18" t="s">
        <v>136</v>
      </c>
      <c r="D14" s="19" t="n">
        <v>1</v>
      </c>
      <c r="E14" s="17" t="s">
        <v>137</v>
      </c>
      <c r="F14" s="20" t="n">
        <f aca="false">'Rate Card'!$B$25</f>
        <v>800</v>
      </c>
      <c r="G14" s="21" t="n">
        <f aca="false">'Rate Card'!$B$9</f>
        <v>0.1</v>
      </c>
      <c r="H14" s="22" t="n">
        <f aca="false">IFERROR(F14/(1-G14),0)</f>
        <v>888.888888888889</v>
      </c>
      <c r="I14" s="22" t="n">
        <f aca="false">D14*F14</f>
        <v>800</v>
      </c>
      <c r="J14" s="22" t="n">
        <f aca="false">D14*H14</f>
        <v>888.888888888889</v>
      </c>
      <c r="K14" s="22" t="n">
        <f aca="false">J14-I14</f>
        <v>88.8888888888889</v>
      </c>
      <c r="L14" s="23" t="n">
        <f aca="false">IFERROR(K14/J14,0)</f>
        <v>0.1</v>
      </c>
    </row>
    <row r="15" customFormat="false" ht="15" hidden="false" customHeight="false" outlineLevel="0" collapsed="false">
      <c r="A15" s="17" t="n">
        <v>2</v>
      </c>
      <c r="B15" s="17" t="s">
        <v>138</v>
      </c>
      <c r="C15" s="18" t="s">
        <v>139</v>
      </c>
      <c r="D15" s="19" t="n">
        <f aca="false">'Rate Card'!$B$33*'Rate Card'!$B$31</f>
        <v>20</v>
      </c>
      <c r="E15" s="17" t="s">
        <v>127</v>
      </c>
      <c r="F15" s="20" t="n">
        <f aca="false">'Rate Card'!$B$21</f>
        <v>1200</v>
      </c>
      <c r="G15" s="21" t="n">
        <f aca="false">'Rate Card'!$B$11</f>
        <v>0.5</v>
      </c>
      <c r="H15" s="22" t="n">
        <f aca="false">IFERROR(F15/(1-G15),0)</f>
        <v>2400</v>
      </c>
      <c r="I15" s="22" t="n">
        <f aca="false">D15*F15</f>
        <v>24000</v>
      </c>
      <c r="J15" s="22" t="n">
        <f aca="false">D15*H15</f>
        <v>48000</v>
      </c>
      <c r="K15" s="22" t="n">
        <f aca="false">J15-I15</f>
        <v>24000</v>
      </c>
      <c r="L15" s="23" t="n">
        <f aca="false">IFERROR(K15/J15,0)</f>
        <v>0.5</v>
      </c>
    </row>
    <row r="16" customFormat="false" ht="26.85" hidden="false" customHeight="false" outlineLevel="0" collapsed="false">
      <c r="A16" s="17" t="n">
        <v>2</v>
      </c>
      <c r="B16" s="17" t="s">
        <v>140</v>
      </c>
      <c r="C16" s="18" t="s">
        <v>141</v>
      </c>
      <c r="D16" s="19" t="n">
        <f aca="false">ROUNDUP($C$30/'Rate Card'!$B$17,0)</f>
        <v>654</v>
      </c>
      <c r="E16" s="17" t="s">
        <v>142</v>
      </c>
      <c r="F16" s="20" t="n">
        <f aca="false">'Rate Card'!$B$18</f>
        <v>25</v>
      </c>
      <c r="G16" s="21" t="n">
        <f aca="false">'Rate Card'!$B$8</f>
        <v>0.2</v>
      </c>
      <c r="H16" s="22" t="n">
        <f aca="false">IFERROR(F16/(1-G16),0)</f>
        <v>31.25</v>
      </c>
      <c r="I16" s="22" t="n">
        <f aca="false">D16*F16</f>
        <v>16350</v>
      </c>
      <c r="J16" s="22" t="n">
        <f aca="false">D16*H16</f>
        <v>20437.5</v>
      </c>
      <c r="K16" s="22" t="n">
        <f aca="false">J16-I16</f>
        <v>4087.5</v>
      </c>
      <c r="L16" s="23" t="n">
        <f aca="false">IFERROR(K16/J16,0)</f>
        <v>0.2</v>
      </c>
    </row>
    <row r="17" customFormat="false" ht="15" hidden="false" customHeight="false" outlineLevel="0" collapsed="false">
      <c r="A17" s="17" t="n">
        <v>2</v>
      </c>
      <c r="B17" s="17" t="s">
        <v>131</v>
      </c>
      <c r="C17" s="18" t="s">
        <v>143</v>
      </c>
      <c r="D17" s="19" t="n">
        <f aca="false">'Rate Card'!$B$33*('Rate Card'!$B$31+'Rate Card'!$B$34)</f>
        <v>28</v>
      </c>
      <c r="E17" s="17" t="s">
        <v>134</v>
      </c>
      <c r="F17" s="20" t="n">
        <f aca="false">'Rate Card'!$B$24</f>
        <v>250</v>
      </c>
      <c r="G17" s="21" t="n">
        <f aca="false">'Rate Card'!$B$9</f>
        <v>0.1</v>
      </c>
      <c r="H17" s="22" t="n">
        <f aca="false">IFERROR(F17/(1-G17),0)</f>
        <v>277.777777777778</v>
      </c>
      <c r="I17" s="22" t="n">
        <f aca="false">D17*F17</f>
        <v>7000</v>
      </c>
      <c r="J17" s="22" t="n">
        <f aca="false">D17*H17</f>
        <v>7777.77777777778</v>
      </c>
      <c r="K17" s="22" t="n">
        <f aca="false">J17-I17</f>
        <v>777.777777777777</v>
      </c>
      <c r="L17" s="23" t="n">
        <f aca="false">IFERROR(K17/J17,0)</f>
        <v>0.1</v>
      </c>
    </row>
    <row r="18" customFormat="false" ht="15" hidden="false" customHeight="false" outlineLevel="0" collapsed="false">
      <c r="A18" s="17" t="n">
        <v>2</v>
      </c>
      <c r="B18" s="17" t="s">
        <v>131</v>
      </c>
      <c r="C18" s="18" t="s">
        <v>144</v>
      </c>
      <c r="D18" s="19" t="n">
        <f aca="false">'Rate Card'!$B$33*('Rate Card'!$B$31+'Rate Card'!$B$34)</f>
        <v>28</v>
      </c>
      <c r="E18" s="17" t="s">
        <v>127</v>
      </c>
      <c r="F18" s="20" t="n">
        <f aca="false">'Rate Card'!$B$23</f>
        <v>100</v>
      </c>
      <c r="G18" s="21" t="n">
        <f aca="false">'Rate Card'!$B$9</f>
        <v>0.1</v>
      </c>
      <c r="H18" s="22" t="n">
        <f aca="false">IFERROR(F18/(1-G18),0)</f>
        <v>111.111111111111</v>
      </c>
      <c r="I18" s="22" t="n">
        <f aca="false">D18*F18</f>
        <v>2800</v>
      </c>
      <c r="J18" s="22" t="n">
        <f aca="false">D18*H18</f>
        <v>3111.11111111111</v>
      </c>
      <c r="K18" s="22" t="n">
        <f aca="false">J18-I18</f>
        <v>311.111111111111</v>
      </c>
      <c r="L18" s="23" t="n">
        <f aca="false">IFERROR(K18/J18,0)</f>
        <v>0.1</v>
      </c>
    </row>
    <row r="19" customFormat="false" ht="15" hidden="false" customHeight="false" outlineLevel="0" collapsed="false">
      <c r="A19" s="17" t="n">
        <v>2</v>
      </c>
      <c r="B19" s="17" t="s">
        <v>131</v>
      </c>
      <c r="C19" s="18" t="s">
        <v>145</v>
      </c>
      <c r="D19" s="19" t="n">
        <f aca="false">ROUNDUP('Rate Card'!$B$31/5,0)</f>
        <v>2</v>
      </c>
      <c r="E19" s="17" t="s">
        <v>137</v>
      </c>
      <c r="F19" s="20" t="n">
        <f aca="false">'Rate Card'!$B$25</f>
        <v>800</v>
      </c>
      <c r="G19" s="21" t="n">
        <f aca="false">'Rate Card'!$B$9</f>
        <v>0.1</v>
      </c>
      <c r="H19" s="22" t="n">
        <f aca="false">IFERROR(F19/(1-G19),0)</f>
        <v>888.888888888889</v>
      </c>
      <c r="I19" s="22" t="n">
        <f aca="false">D19*F19</f>
        <v>1600</v>
      </c>
      <c r="J19" s="22" t="n">
        <f aca="false">D19*H19</f>
        <v>1777.77777777778</v>
      </c>
      <c r="K19" s="22" t="n">
        <f aca="false">J19-I19</f>
        <v>177.777777777778</v>
      </c>
      <c r="L19" s="23" t="n">
        <f aca="false">IFERROR(K19/J19,0)</f>
        <v>0.1</v>
      </c>
    </row>
    <row r="22" customFormat="false" ht="15" hidden="false" customHeight="false" outlineLevel="0" collapsed="false">
      <c r="A22" s="3" t="s">
        <v>146</v>
      </c>
    </row>
    <row r="23" customFormat="false" ht="64.9" hidden="false" customHeight="false" outlineLevel="0" collapsed="false">
      <c r="A23" s="26" t="s">
        <v>113</v>
      </c>
      <c r="B23" s="26" t="s">
        <v>121</v>
      </c>
      <c r="C23" s="26" t="s">
        <v>147</v>
      </c>
      <c r="D23" s="26" t="s">
        <v>148</v>
      </c>
      <c r="E23" s="26" t="s">
        <v>123</v>
      </c>
      <c r="F23" s="26" t="s">
        <v>149</v>
      </c>
      <c r="G23" s="26" t="s">
        <v>150</v>
      </c>
    </row>
    <row r="24" customFormat="false" ht="15" hidden="false" customHeight="false" outlineLevel="0" collapsed="false">
      <c r="A24" s="10" t="s">
        <v>151</v>
      </c>
      <c r="B24" s="11" t="n">
        <f aca="false">SUMIF($A$9:$A$19,1,$I$9:$I$19)</f>
        <v>21050</v>
      </c>
      <c r="C24" s="11" t="n">
        <f aca="false">SUMIF($A$9:$A$19,1,$J$9:$J$19)</f>
        <v>30555.5555555556</v>
      </c>
      <c r="D24" s="27" t="n">
        <f aca="false">CEILING(C24,'Rate Card'!$B$12)</f>
        <v>30750</v>
      </c>
      <c r="E24" s="11" t="n">
        <f aca="false">D24-B24</f>
        <v>9700</v>
      </c>
      <c r="F24" s="28" t="n">
        <f aca="false">IFERROR(E24/D24,0)</f>
        <v>0.315447154471545</v>
      </c>
      <c r="G24" s="10" t="str">
        <f aca="false">IF(F24&gt;='Rate Card'!$B$8,"OK","BELOW FLOOR")</f>
        <v>OK</v>
      </c>
    </row>
    <row r="25" customFormat="false" ht="15" hidden="false" customHeight="false" outlineLevel="0" collapsed="false">
      <c r="A25" s="10" t="s">
        <v>152</v>
      </c>
      <c r="B25" s="11" t="n">
        <f aca="false">SUMIF($A$9:$A$19,2,$I$9:$I$19)</f>
        <v>51750</v>
      </c>
      <c r="C25" s="11" t="n">
        <f aca="false">SUMIF($A$9:$A$19,2,$J$9:$J$19)</f>
        <v>81104.1666666667</v>
      </c>
      <c r="D25" s="27" t="n">
        <f aca="false">CEILING(C25,'Rate Card'!$B$12)</f>
        <v>81250</v>
      </c>
      <c r="E25" s="11" t="n">
        <f aca="false">D25-B25</f>
        <v>29500</v>
      </c>
      <c r="F25" s="28" t="n">
        <f aca="false">IFERROR(E25/D25,0)</f>
        <v>0.363076923076923</v>
      </c>
      <c r="G25" s="10" t="str">
        <f aca="false">IF(F25&gt;='Rate Card'!$B$8,"OK","BELOW FLOOR")</f>
        <v>OK</v>
      </c>
    </row>
    <row r="26" customFormat="false" ht="15" hidden="false" customHeight="false" outlineLevel="0" collapsed="false">
      <c r="A26" s="10" t="s">
        <v>153</v>
      </c>
      <c r="B26" s="11" t="n">
        <f aca="false">B24+B25</f>
        <v>72800</v>
      </c>
      <c r="C26" s="11" t="n">
        <f aca="false">C24+C25</f>
        <v>111659.722222222</v>
      </c>
      <c r="D26" s="27" t="n">
        <f aca="false">D24+D25</f>
        <v>112000</v>
      </c>
      <c r="E26" s="11" t="n">
        <f aca="false">D26-B26</f>
        <v>39200</v>
      </c>
      <c r="F26" s="28" t="n">
        <f aca="false">IFERROR(E26/D26,0)</f>
        <v>0.35</v>
      </c>
      <c r="G26" s="10" t="str">
        <f aca="false">IF(F26&gt;='Rate Card'!$B$8,"OK","BELOW FLOOR")</f>
        <v>OK</v>
      </c>
    </row>
    <row r="28" customFormat="false" ht="15" hidden="false" customHeight="false" outlineLevel="0" collapsed="false">
      <c r="A28" s="3" t="s">
        <v>154</v>
      </c>
    </row>
    <row r="29" customFormat="false" ht="15" hidden="false" customHeight="false" outlineLevel="0" collapsed="false">
      <c r="A29" s="10" t="s">
        <v>155</v>
      </c>
      <c r="C29" s="9" t="n">
        <f aca="false">'Rate Card'!$B$52</f>
        <v>6536</v>
      </c>
      <c r="E29" s="10" t="s">
        <v>156</v>
      </c>
    </row>
    <row r="30" customFormat="false" ht="15" hidden="false" customHeight="false" outlineLevel="0" collapsed="false">
      <c r="A30" s="10" t="s">
        <v>157</v>
      </c>
      <c r="C30" s="9" t="n">
        <f aca="false">ROUND(C29*'Rate Card'!$B$15,0)</f>
        <v>1961</v>
      </c>
      <c r="E30" s="10" t="s">
        <v>158</v>
      </c>
    </row>
    <row r="31" customFormat="false" ht="15" hidden="false" customHeight="false" outlineLevel="0" collapsed="false">
      <c r="A31" s="10" t="s">
        <v>159</v>
      </c>
      <c r="C31" s="9" t="n">
        <f aca="false">C30*'Rate Card'!$B$7*'Rate Card'!$B$6</f>
        <v>3435672</v>
      </c>
      <c r="E31" s="10" t="s">
        <v>160</v>
      </c>
    </row>
    <row r="32" customFormat="false" ht="15" hidden="false" customHeight="false" outlineLevel="0" collapsed="false">
      <c r="A32" s="10" t="s">
        <v>161</v>
      </c>
      <c r="C32" s="29" t="n">
        <f aca="false">C31*'Rate Card'!$B$5</f>
        <v>270387.3864</v>
      </c>
      <c r="E32" s="10" t="s">
        <v>162</v>
      </c>
    </row>
    <row r="33" customFormat="false" ht="15" hidden="false" customHeight="false" outlineLevel="0" collapsed="false">
      <c r="A33" s="10" t="s">
        <v>163</v>
      </c>
      <c r="C33" s="9" t="n">
        <f aca="false">ROUND(C30*'Rate Card'!$B$16,0)</f>
        <v>588</v>
      </c>
      <c r="E33" s="10" t="s">
        <v>164</v>
      </c>
    </row>
    <row r="34" customFormat="false" ht="15" hidden="false" customHeight="false" outlineLevel="0" collapsed="false">
      <c r="A34" s="10" t="s">
        <v>165</v>
      </c>
      <c r="C34" s="12" t="n">
        <f aca="false">C33*'Rate Card'!$B$7</f>
        <v>117.6</v>
      </c>
      <c r="E34" s="10"/>
    </row>
    <row r="35" customFormat="false" ht="15" hidden="false" customHeight="false" outlineLevel="0" collapsed="false">
      <c r="A35" s="10" t="s">
        <v>166</v>
      </c>
      <c r="C35" s="9" t="n">
        <f aca="false">C34/0.746</f>
        <v>157.640750670241</v>
      </c>
      <c r="E35" s="10" t="s">
        <v>167</v>
      </c>
    </row>
    <row r="36" customFormat="false" ht="15" hidden="false" customHeight="false" outlineLevel="0" collapsed="false">
      <c r="A36" s="10" t="s">
        <v>168</v>
      </c>
      <c r="C36" s="9" t="n">
        <f aca="false">C34*'Rate Card'!$B$6</f>
        <v>1030176</v>
      </c>
      <c r="E36" s="10"/>
    </row>
    <row r="37" customFormat="false" ht="15" hidden="false" customHeight="false" outlineLevel="0" collapsed="false">
      <c r="A37" s="10" t="s">
        <v>169</v>
      </c>
      <c r="C37" s="29" t="n">
        <f aca="false">C36*'Rate Card'!$B$5</f>
        <v>81074.8512</v>
      </c>
      <c r="E37" s="10"/>
    </row>
    <row r="38" customFormat="false" ht="15" hidden="false" customHeight="false" outlineLevel="0" collapsed="false">
      <c r="A38" s="10" t="s">
        <v>170</v>
      </c>
      <c r="C38" s="29" t="n">
        <f aca="false">C32/12</f>
        <v>22532.2822</v>
      </c>
      <c r="E38" s="10"/>
    </row>
    <row r="39" customFormat="false" ht="15" hidden="false" customHeight="false" outlineLevel="0" collapsed="false">
      <c r="A39" s="10" t="s">
        <v>171</v>
      </c>
      <c r="C39" s="12" t="n">
        <f aca="false">IFERROR($D$24/C32*12,0)</f>
        <v>1.36470863124553</v>
      </c>
      <c r="E39" s="10"/>
    </row>
    <row r="40" customFormat="false" ht="15" hidden="false" customHeight="false" outlineLevel="0" collapsed="false">
      <c r="A40" s="10" t="s">
        <v>172</v>
      </c>
      <c r="C40" s="12" t="n">
        <f aca="false">IFERROR($D$25/C37*12,0)</f>
        <v>12.0259240142768</v>
      </c>
      <c r="E40" s="10"/>
    </row>
    <row r="41" customFormat="false" ht="15" hidden="false" customHeight="false" outlineLevel="0" collapsed="false">
      <c r="A41" s="10" t="s">
        <v>173</v>
      </c>
      <c r="C41" s="12" t="n">
        <f aca="false">IFERROR($D$26/C37*12,0)</f>
        <v>16.5772737181416</v>
      </c>
      <c r="E41" s="10" t="s">
        <v>174</v>
      </c>
    </row>
    <row r="42" customFormat="false" ht="15" hidden="false" customHeight="false" outlineLevel="0" collapsed="false">
      <c r="A42" s="10" t="s">
        <v>175</v>
      </c>
      <c r="C42" s="9" t="n">
        <f aca="false">C30*'Rate Card'!$B$7/0.746</f>
        <v>525.73726541555</v>
      </c>
      <c r="E42" s="10"/>
    </row>
    <row r="43" customFormat="false" ht="15" hidden="false" customHeight="false" outlineLevel="0" collapsed="false">
      <c r="A43" s="10" t="s">
        <v>176</v>
      </c>
      <c r="C43" s="9" t="n">
        <f aca="false">C30*'Rate Card'!$B$7</f>
        <v>392.2</v>
      </c>
      <c r="E43" s="10"/>
    </row>
    <row r="45" customFormat="false" ht="15" hidden="false" customHeight="false" outlineLevel="0" collapsed="false">
      <c r="A45" s="3" t="s">
        <v>177</v>
      </c>
    </row>
    <row r="46" customFormat="false" ht="15" hidden="false" customHeight="false" outlineLevel="0" collapsed="false">
      <c r="A46" s="10" t="s">
        <v>178</v>
      </c>
      <c r="C46" s="29" t="n">
        <f aca="false">CEILING($B$26/(1-'Rate Card'!$B$8),'Rate Card'!$B$12)</f>
        <v>91000</v>
      </c>
      <c r="E46" s="10"/>
    </row>
    <row r="47" customFormat="false" ht="15" hidden="false" customHeight="false" outlineLevel="0" collapsed="false">
      <c r="A47" s="10" t="s">
        <v>179</v>
      </c>
      <c r="C47" s="29" t="n">
        <f aca="false">$D$26-C46</f>
        <v>21000</v>
      </c>
      <c r="E47" s="10"/>
    </row>
    <row r="48" customFormat="false" ht="15" hidden="false" customHeight="false" outlineLevel="0" collapsed="false">
      <c r="A48" s="10" t="s">
        <v>180</v>
      </c>
      <c r="C48" s="9" t="n">
        <f aca="false">ROUND(C30*0.5*'Rate Card'!$B$16,0)</f>
        <v>294</v>
      </c>
      <c r="E48" s="10" t="s">
        <v>181</v>
      </c>
    </row>
    <row r="49" customFormat="false" ht="15" hidden="false" customHeight="false" outlineLevel="0" collapsed="false">
      <c r="A49" s="10" t="s">
        <v>182</v>
      </c>
      <c r="C49" s="10" t="str">
        <f aca="false">IF('Rate Card'!$B$5=0.13,"PLACEHOLDER RATE: set the plant rate in the job file","OK")</f>
        <v>OK</v>
      </c>
      <c r="E49" s="10" t="s">
        <v>183</v>
      </c>
    </row>
    <row r="51" customFormat="false" ht="15" hidden="false" customHeight="false" outlineLevel="0" collapsed="false">
      <c r="A51" s="3" t="s">
        <v>184</v>
      </c>
    </row>
    <row r="52" customFormat="false" ht="15" hidden="false" customHeight="false" outlineLevel="0" collapsed="false">
      <c r="A52" s="10" t="s">
        <v>185</v>
      </c>
      <c r="B52" s="30" t="n">
        <v>6000</v>
      </c>
    </row>
    <row r="53" customFormat="false" ht="15" hidden="false" customHeight="false" outlineLevel="0" collapsed="false">
      <c r="A53" s="10" t="s">
        <v>186</v>
      </c>
      <c r="B53" s="7" t="n">
        <v>0.7</v>
      </c>
    </row>
    <row r="54" customFormat="false" ht="15" hidden="false" customHeight="false" outlineLevel="0" collapsed="false">
      <c r="A54" s="10" t="s">
        <v>187</v>
      </c>
      <c r="C54" s="29" t="n">
        <f aca="false">C30*'Rate Card'!$B$7*B52*'Rate Card'!$B$5</f>
        <v>185196.84</v>
      </c>
    </row>
    <row r="55" customFormat="false" ht="15" hidden="false" customHeight="false" outlineLevel="0" collapsed="false">
      <c r="A55" s="10" t="s">
        <v>188</v>
      </c>
      <c r="C55" s="29" t="n">
        <f aca="false">C33*'Rate Card'!$B$7*B52*'Rate Card'!$B$5</f>
        <v>55530.72</v>
      </c>
    </row>
    <row r="56" customFormat="false" ht="15" hidden="false" customHeight="false" outlineLevel="0" collapsed="false">
      <c r="A56" s="10" t="s">
        <v>189</v>
      </c>
      <c r="C56" s="29" t="n">
        <f aca="false">C32*B53</f>
        <v>189271.17048</v>
      </c>
    </row>
    <row r="57" customFormat="false" ht="15" hidden="false" customHeight="false" outlineLevel="0" collapsed="false">
      <c r="A57" s="10" t="s">
        <v>190</v>
      </c>
      <c r="C57" s="29" t="n">
        <f aca="false">C37*B53</f>
        <v>56752.39584</v>
      </c>
    </row>
    <row r="59" customFormat="false" ht="15" hidden="false" customHeight="false" outlineLevel="0" collapsed="false">
      <c r="A59" s="3" t="s">
        <v>191</v>
      </c>
    </row>
    <row r="60" customFormat="false" ht="15" hidden="false" customHeight="false" outlineLevel="0" collapsed="false">
      <c r="A60" s="10" t="s">
        <v>192</v>
      </c>
      <c r="C60" s="31" t="n">
        <f aca="false">IFERROR((C32-$D$24)/$D$24,0)</f>
        <v>7.79308573658537</v>
      </c>
      <c r="E60" s="10" t="s">
        <v>193</v>
      </c>
    </row>
    <row r="61" customFormat="false" ht="15" hidden="false" customHeight="false" outlineLevel="0" collapsed="false">
      <c r="A61" s="10" t="s">
        <v>194</v>
      </c>
      <c r="C61" s="31" t="n">
        <f aca="false">IFERROR((C37-$D$25)/$D$25,0)</f>
        <v>-0.0021556775384613</v>
      </c>
      <c r="E61" s="10" t="s">
        <v>193</v>
      </c>
    </row>
    <row r="62" customFormat="false" ht="15" hidden="false" customHeight="false" outlineLevel="0" collapsed="false">
      <c r="A62" s="10" t="s">
        <v>195</v>
      </c>
      <c r="C62" s="31" t="n">
        <f aca="false">IFERROR((C32-$D$26)/$D$26,0)</f>
        <v>1.41417309285714</v>
      </c>
      <c r="E62" s="10" t="s">
        <v>193</v>
      </c>
    </row>
    <row r="63" customFormat="false" ht="15" hidden="false" customHeight="false" outlineLevel="0" collapsed="false">
      <c r="A63" s="10" t="s">
        <v>196</v>
      </c>
      <c r="C63" s="31" t="n">
        <f aca="false">IFERROR((C37-$D$26)/$D$26,0)</f>
        <v>-0.2761174</v>
      </c>
      <c r="E63" s="10" t="s">
        <v>193</v>
      </c>
    </row>
  </sheetData>
  <conditionalFormatting sqref="G24:G26">
    <cfRule type="expression" priority="2" aboveAverage="0" equalAverage="0" bottom="0" percent="0" rank="0" text="" dxfId="0">
      <formula>G24="BELOW FLOOR"</formula>
    </cfRule>
  </conditionalFormatting>
  <conditionalFormatting sqref="C49">
    <cfRule type="expression" priority="3" aboveAverage="0" equalAverage="0" bottom="0" percent="0" rank="0" text="" dxfId="0">
      <formula>C49&lt;&gt;"OK"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2026-10-26T04:53:57Z</dcterms:created>
  <dc:creator>openpyxl</dc:creator>
  <dc:description/>
  <dc:language>en-US</dc:language>
  <cp:lastModifiedBy/>
  <dcterms:modified xsi:type="dcterms:W3CDTF">2026-10-26T04:53:57Z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
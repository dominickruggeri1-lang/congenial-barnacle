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ost" sheetId="1" state="visible" r:id="rId3"/>
    <sheet name="Leak Log" sheetId="2" state="visible" r:id="rId4"/>
    <sheet name="Flow Curves" sheetId="3" state="hidden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8" authorId="0">
      <text>
        <r>
          <rPr>
            <sz val="10"/>
            <rFont val="Arial"/>
            <family val="2"/>
          </rPr>
          <t xml:space="preserve">Example row showing the expected format. Overwrite it with the first real leak.</t>
        </r>
      </text>
    </comment>
  </commentList>
</comments>
</file>

<file path=xl/sharedStrings.xml><?xml version="1.0" encoding="utf-8"?>
<sst xmlns="http://schemas.openxmlformats.org/spreadsheetml/2006/main" count="105" uniqueCount="70">
  <si>
    <t xml:space="preserve">ALD Field Leak Sheet · Cost Inputs</t>
  </si>
  <si>
    <t xml:space="preserve">Blue on yellow = input. Edit only these cells. Basis for each value is in column F.</t>
  </si>
  <si>
    <t xml:space="preserve">This is for the year</t>
  </si>
  <si>
    <t xml:space="preserve">Gas</t>
  </si>
  <si>
    <t xml:space="preserve">$/1000 cf</t>
  </si>
  <si>
    <t xml:space="preserve">Cubic Feet =</t>
  </si>
  <si>
    <t xml:space="preserve">Air</t>
  </si>
  <si>
    <t xml:space="preserve">Electricity</t>
  </si>
  <si>
    <t xml:space="preserve">Cost =</t>
  </si>
  <si>
    <t xml:space="preserve">Per kWh</t>
  </si>
  <si>
    <t xml:space="preserve">INPUT REQUIRED. Use the plant's blended $/kWh from 12 months of bills. 0.13 is a placeholder and is flagged on the Leak Log until changed.</t>
  </si>
  <si>
    <t xml:space="preserve">Open Blow</t>
  </si>
  <si>
    <t xml:space="preserve">Calc: kWh per 1000 cf (D13) x electricity rate.</t>
  </si>
  <si>
    <t xml:space="preserve">Carbon Dioxide</t>
  </si>
  <si>
    <t xml:space="preserve">Carried from ALD template 2023-2025. Source not documented: confirm with the plant's gas supplier invoice before quoting savings on this gas.</t>
  </si>
  <si>
    <t xml:space="preserve">Argon</t>
  </si>
  <si>
    <t xml:space="preserve">Helium</t>
  </si>
  <si>
    <t xml:space="preserve">Hydrogen</t>
  </si>
  <si>
    <t xml:space="preserve">Nitrogen</t>
  </si>
  <si>
    <t xml:space="preserve">kWh per 1000 cf of air</t>
  </si>
  <si>
    <t xml:space="preserve">ALD template factor (3.29 kWh/1000 cf = 0.197 kW/CFM, DOE Sourcebook planning value at about 100 psi). Replace with the system's measured specific power when known.</t>
  </si>
  <si>
    <t xml:space="preserve">Operational Times</t>
  </si>
  <si>
    <t xml:space="preserve">Hours Per Day</t>
  </si>
  <si>
    <t xml:space="preserve">ALD default 24/7. Leaks bleed whenever the header is pressurized, so use pressurized hours, not production hours.</t>
  </si>
  <si>
    <t xml:space="preserve">Days Per Year</t>
  </si>
  <si>
    <t xml:space="preserve">Plant kW per leak CFM</t>
  </si>
  <si>
    <t xml:space="preserve">Calc. Used for kW and bhp.</t>
  </si>
  <si>
    <t xml:space="preserve">Company name here</t>
  </si>
  <si>
    <t xml:space="preserve">Total Cost Avoidance</t>
  </si>
  <si>
    <t xml:space="preserve">Air CFM and Cost</t>
  </si>
  <si>
    <t xml:space="preserve">Carbon Dioxide CFM and Cost</t>
  </si>
  <si>
    <t xml:space="preserve">Argon CFM and Cost</t>
  </si>
  <si>
    <t xml:space="preserve">Helium CFM and Cost</t>
  </si>
  <si>
    <t xml:space="preserve">Hydrogen CFM and Cost</t>
  </si>
  <si>
    <t xml:space="preserve">Nitrogen CFM and Cost</t>
  </si>
  <si>
    <t xml:space="preserve">All Leaks Identified</t>
  </si>
  <si>
    <t xml:space="preserve">% of Leaks Repaired</t>
  </si>
  <si>
    <t xml:space="preserve">Annual Savings (repaired)</t>
  </si>
  <si>
    <t xml:space="preserve">CFM</t>
  </si>
  <si>
    <t xml:space="preserve">Cost</t>
  </si>
  <si>
    <t xml:space="preserve">Record Number</t>
  </si>
  <si>
    <t xml:space="preserve">Type of Gas</t>
  </si>
  <si>
    <t xml:space="preserve">Pressure at Leak (psi)</t>
  </si>
  <si>
    <t xml:space="preserve">dB Reading</t>
  </si>
  <si>
    <t xml:space="preserve">Problem Location</t>
  </si>
  <si>
    <t xml:space="preserve">Problem Description</t>
  </si>
  <si>
    <t xml:space="preserve">Repaired (Y/N)</t>
  </si>
  <si>
    <t xml:space="preserve">Identified Leaks Cost Avoidance</t>
  </si>
  <si>
    <t xml:space="preserve">Size of Leak CFM</t>
  </si>
  <si>
    <t xml:space="preserve">Energy Avoidance (kWh)</t>
  </si>
  <si>
    <t xml:space="preserve">Unrepaired from Previous Audit (ft³/min)</t>
  </si>
  <si>
    <t xml:space="preserve">Leaks Identified Summary</t>
  </si>
  <si>
    <t xml:space="preserve">CFM basis / check</t>
  </si>
  <si>
    <t xml:space="preserve">EXAMPLE · Line 3 filler, FRL inlet</t>
  </si>
  <si>
    <t xml:space="preserve">EXAMPLE · Push-to-connect fitting leaking</t>
  </si>
  <si>
    <t xml:space="preserve">N</t>
  </si>
  <si>
    <t xml:space="preserve">kWh</t>
  </si>
  <si>
    <t xml:space="preserve">kW</t>
  </si>
  <si>
    <t xml:space="preserve">bhp</t>
  </si>
  <si>
    <t xml:space="preserve">Leaks Repaired Summary</t>
  </si>
  <si>
    <t xml:space="preserve">Open Blows (excluded from leak totals)</t>
  </si>
  <si>
    <t xml:space="preserve">$/yr</t>
  </si>
  <si>
    <t xml:space="preserve">Rows needing review</t>
  </si>
  <si>
    <t xml:space="preserve">rows</t>
  </si>
  <si>
    <t xml:space="preserve">interpolated</t>
  </si>
  <si>
    <t xml:space="preserve">UE Systems Ultraprobe Compressed Gas Loss Guess-Timator, (c) 2008 UE Systems Inc.</t>
  </si>
  <si>
    <t xml:space="preserve">CFM = a x dB^b. Values are a general guideline, not a measured flow (UE Systems notice). Readings compensated for atmospheric pressure; probe held 15 in from the leak.</t>
  </si>
  <si>
    <t xml:space="preserve">Pressure (psi)</t>
  </si>
  <si>
    <t xml:space="preserve">a</t>
  </si>
  <si>
    <t xml:space="preserve">b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</si>
</sst>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$0.0000"/>
    <numFmt numFmtId="166" formatCode="\$0.00"/>
    <numFmt numFmtId="167" formatCode="0.0000"/>
    <numFmt numFmtId="168" formatCode="0.0"/>
    <numFmt numFmtId="169" formatCode="\$#,##0.00"/>
    <numFmt numFmtId="170" formatCode="0.0%"/>
    <numFmt numFmtId="171" formatCode="0.00"/>
    <numFmt numFmtId="172" formatCode="#,##0"/>
    <numFmt numFmtId="173" formatCode="\$#,##0"/>
    <numFmt numFmtId="174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1"/>
      <color theme="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3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D0D0D"/>
        <bgColor rgb="FF0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8D8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8D7DA"/>
        </patternFill>
      </fill>
    </dxf>
    <dxf>
      <fill>
        <patternFill>
          <bgColor rgb="FFFFF3C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D"/>
      <rgbColor rgb="FFCCFFFF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D0D0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24"/>
    <col collapsed="false" customWidth="true" hidden="false" outlineLevel="0" max="6" min="6" style="0" width="90"/>
    <col collapsed="false" customWidth="true" hidden="true" outlineLevel="0" max="9" min="8" style="0" width="13"/>
  </cols>
  <sheetData>
    <row r="1" customFormat="false" ht="16.1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C3" s="2" t="s">
        <v>2</v>
      </c>
      <c r="D3" s="3" t="n">
        <v>2026</v>
      </c>
    </row>
    <row r="4" customFormat="false" ht="15" hidden="false" customHeight="false" outlineLevel="0" collapsed="false">
      <c r="H4" s="2" t="s">
        <v>3</v>
      </c>
      <c r="I4" s="2" t="s">
        <v>4</v>
      </c>
    </row>
    <row r="5" customFormat="false" ht="15" hidden="false" customHeight="false" outlineLevel="0" collapsed="false">
      <c r="B5" s="2" t="s">
        <v>5</v>
      </c>
      <c r="D5" s="2" t="n">
        <v>1000</v>
      </c>
      <c r="H5" s="2" t="s">
        <v>6</v>
      </c>
      <c r="I5" s="4" t="n">
        <f aca="false">Cost!$D$7</f>
        <v>0.4277</v>
      </c>
    </row>
    <row r="6" customFormat="false" ht="15" hidden="false" customHeight="false" outlineLevel="0" collapsed="false">
      <c r="B6" s="2" t="s">
        <v>7</v>
      </c>
      <c r="C6" s="2" t="s">
        <v>8</v>
      </c>
      <c r="D6" s="5" t="n">
        <v>0.13</v>
      </c>
      <c r="E6" s="2" t="s">
        <v>9</v>
      </c>
      <c r="F6" s="2" t="s">
        <v>10</v>
      </c>
      <c r="H6" s="2" t="s">
        <v>11</v>
      </c>
      <c r="I6" s="4" t="n">
        <f aca="false">Cost!$D$7</f>
        <v>0.4277</v>
      </c>
    </row>
    <row r="7" customFormat="false" ht="15" hidden="false" customHeight="false" outlineLevel="0" collapsed="false">
      <c r="B7" s="2" t="s">
        <v>6</v>
      </c>
      <c r="C7" s="2" t="s">
        <v>8</v>
      </c>
      <c r="D7" s="4" t="n">
        <f aca="false">$D$13*$D$6</f>
        <v>0.4277</v>
      </c>
      <c r="E7" s="2" t="str">
        <f aca="false">_xlfn.CONCAT("Per ",$D$5," Cubic Feet")</f>
        <v>Per 1000 Cubic Feet</v>
      </c>
      <c r="F7" s="2" t="s">
        <v>12</v>
      </c>
      <c r="H7" s="2" t="s">
        <v>13</v>
      </c>
      <c r="I7" s="6" t="n">
        <f aca="false">Cost!$D$8</f>
        <v>0.01</v>
      </c>
    </row>
    <row r="8" customFormat="false" ht="15" hidden="false" customHeight="false" outlineLevel="0" collapsed="false">
      <c r="B8" s="2" t="s">
        <v>13</v>
      </c>
      <c r="C8" s="2" t="s">
        <v>8</v>
      </c>
      <c r="D8" s="7" t="n">
        <v>0.01</v>
      </c>
      <c r="E8" s="2" t="str">
        <f aca="false">_xlfn.CONCAT("Per ",$D$5," Cubic Feet")</f>
        <v>Per 1000 Cubic Feet</v>
      </c>
      <c r="F8" s="2" t="s">
        <v>14</v>
      </c>
      <c r="H8" s="2" t="s">
        <v>15</v>
      </c>
      <c r="I8" s="6" t="n">
        <f aca="false">Cost!$D$9</f>
        <v>22.8</v>
      </c>
    </row>
    <row r="9" customFormat="false" ht="15" hidden="false" customHeight="false" outlineLevel="0" collapsed="false">
      <c r="B9" s="2" t="s">
        <v>15</v>
      </c>
      <c r="C9" s="2" t="s">
        <v>8</v>
      </c>
      <c r="D9" s="7" t="n">
        <v>22.8</v>
      </c>
      <c r="E9" s="2" t="str">
        <f aca="false">_xlfn.CONCAT("Per ",$D$5," Cubic Feet")</f>
        <v>Per 1000 Cubic Feet</v>
      </c>
      <c r="F9" s="2" t="s">
        <v>14</v>
      </c>
      <c r="H9" s="2" t="s">
        <v>16</v>
      </c>
      <c r="I9" s="6" t="n">
        <f aca="false">Cost!$D$10</f>
        <v>99.95</v>
      </c>
    </row>
    <row r="10" customFormat="false" ht="15" hidden="false" customHeight="false" outlineLevel="0" collapsed="false">
      <c r="B10" s="2" t="s">
        <v>16</v>
      </c>
      <c r="C10" s="2" t="s">
        <v>8</v>
      </c>
      <c r="D10" s="7" t="n">
        <v>99.95</v>
      </c>
      <c r="E10" s="2" t="str">
        <f aca="false">_xlfn.CONCAT("Per ",$D$5," Cubic Feet")</f>
        <v>Per 1000 Cubic Feet</v>
      </c>
      <c r="F10" s="2" t="s">
        <v>14</v>
      </c>
      <c r="H10" s="2" t="s">
        <v>17</v>
      </c>
      <c r="I10" s="6" t="n">
        <f aca="false">Cost!$D$11</f>
        <v>11.77</v>
      </c>
    </row>
    <row r="11" customFormat="false" ht="15" hidden="false" customHeight="false" outlineLevel="0" collapsed="false">
      <c r="B11" s="2" t="s">
        <v>17</v>
      </c>
      <c r="C11" s="2" t="s">
        <v>8</v>
      </c>
      <c r="D11" s="7" t="n">
        <v>11.77</v>
      </c>
      <c r="E11" s="2" t="str">
        <f aca="false">_xlfn.CONCAT("Per ",$D$5," Cubic Feet")</f>
        <v>Per 1000 Cubic Feet</v>
      </c>
      <c r="F11" s="2" t="s">
        <v>14</v>
      </c>
      <c r="H11" s="2" t="s">
        <v>18</v>
      </c>
      <c r="I11" s="6" t="n">
        <f aca="false">Cost!$D$12</f>
        <v>3.8</v>
      </c>
    </row>
    <row r="12" customFormat="false" ht="15" hidden="false" customHeight="false" outlineLevel="0" collapsed="false">
      <c r="B12" s="2" t="s">
        <v>18</v>
      </c>
      <c r="C12" s="2" t="s">
        <v>8</v>
      </c>
      <c r="D12" s="7" t="n">
        <v>3.8</v>
      </c>
      <c r="E12" s="2" t="str">
        <f aca="false">_xlfn.CONCAT("Per ",$D$5," Cubic Feet")</f>
        <v>Per 1000 Cubic Feet</v>
      </c>
      <c r="F12" s="2" t="s">
        <v>14</v>
      </c>
    </row>
    <row r="13" customFormat="false" ht="15" hidden="false" customHeight="false" outlineLevel="0" collapsed="false">
      <c r="B13" s="2" t="s">
        <v>19</v>
      </c>
      <c r="D13" s="3" t="n">
        <v>3.29</v>
      </c>
      <c r="F13" s="2" t="s">
        <v>20</v>
      </c>
    </row>
    <row r="15" customFormat="false" ht="15" hidden="false" customHeight="false" outlineLevel="0" collapsed="false">
      <c r="B15" s="8" t="s">
        <v>21</v>
      </c>
    </row>
    <row r="16" customFormat="false" ht="15" hidden="false" customHeight="false" outlineLevel="0" collapsed="false">
      <c r="B16" s="2" t="s">
        <v>22</v>
      </c>
      <c r="D16" s="3" t="n">
        <v>24</v>
      </c>
      <c r="F16" s="2" t="s">
        <v>23</v>
      </c>
    </row>
    <row r="17" customFormat="false" ht="15" hidden="false" customHeight="false" outlineLevel="0" collapsed="false">
      <c r="B17" s="2" t="s">
        <v>24</v>
      </c>
      <c r="D17" s="3" t="n">
        <v>365</v>
      </c>
    </row>
    <row r="19" customFormat="false" ht="15" hidden="false" customHeight="false" outlineLevel="0" collapsed="false">
      <c r="B19" s="2" t="s">
        <v>25</v>
      </c>
      <c r="D19" s="9" t="n">
        <f aca="false">$D$13*60/1000</f>
        <v>0.1974</v>
      </c>
      <c r="F19" s="2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Z5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5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8" min="5" style="0" width="10"/>
    <col collapsed="false" customWidth="true" hidden="false" outlineLevel="0" max="12" min="9" style="0" width="12"/>
    <col collapsed="false" customWidth="true" hidden="false" outlineLevel="0" max="13" min="13" style="0" width="10"/>
    <col collapsed="false" customWidth="true" hidden="false" outlineLevel="0" max="14" min="14" style="0" width="14"/>
    <col collapsed="false" customWidth="true" hidden="false" outlineLevel="0" max="15" min="15" style="0" width="10"/>
    <col collapsed="false" customWidth="true" hidden="false" outlineLevel="0" max="17" min="16" style="0" width="13"/>
    <col collapsed="false" customWidth="true" hidden="false" outlineLevel="0" max="18" min="18" style="0" width="3"/>
    <col collapsed="false" customWidth="true" hidden="false" outlineLevel="0" max="19" min="19" style="0" width="16"/>
    <col collapsed="false" customWidth="true" hidden="false" outlineLevel="0" max="20" min="20" style="0" width="14"/>
    <col collapsed="false" customWidth="true" hidden="false" outlineLevel="0" max="21" min="21" style="0" width="26"/>
    <col collapsed="false" customWidth="true" hidden="true" outlineLevel="0" max="26" min="23" style="0" width="13"/>
  </cols>
  <sheetData>
    <row r="3" customFormat="false" ht="16.15" hidden="false" customHeight="false" outlineLevel="0" collapsed="false">
      <c r="A3" s="10" t="s">
        <v>27</v>
      </c>
      <c r="K3" s="2" t="str">
        <f aca="false">_xlfn.CONCAT("Survey year ",Cost!$D$3)</f>
        <v>Survey year 2026</v>
      </c>
      <c r="O3" s="8" t="s">
        <v>28</v>
      </c>
    </row>
    <row r="4" customFormat="false" ht="26.85" hidden="false" customHeight="true" outlineLevel="0" collapsed="false">
      <c r="A4" s="11" t="s">
        <v>29</v>
      </c>
      <c r="B4" s="11"/>
      <c r="C4" s="11" t="s">
        <v>30</v>
      </c>
      <c r="D4" s="11"/>
      <c r="E4" s="11" t="s">
        <v>31</v>
      </c>
      <c r="F4" s="11"/>
      <c r="G4" s="11" t="s">
        <v>32</v>
      </c>
      <c r="H4" s="11"/>
      <c r="I4" s="11" t="s">
        <v>33</v>
      </c>
      <c r="J4" s="11"/>
      <c r="K4" s="11" t="s">
        <v>34</v>
      </c>
      <c r="L4" s="11"/>
      <c r="M4" s="11" t="s">
        <v>35</v>
      </c>
      <c r="N4" s="11"/>
      <c r="O4" s="11" t="s">
        <v>36</v>
      </c>
      <c r="P4" s="11" t="s">
        <v>37</v>
      </c>
      <c r="Q4" s="11"/>
    </row>
    <row r="5" customFormat="false" ht="15" hidden="false" customHeight="false" outlineLevel="0" collapsed="false">
      <c r="A5" s="12" t="s">
        <v>38</v>
      </c>
      <c r="B5" s="12" t="s">
        <v>39</v>
      </c>
      <c r="C5" s="12" t="s">
        <v>38</v>
      </c>
      <c r="D5" s="12" t="s">
        <v>39</v>
      </c>
      <c r="E5" s="12" t="s">
        <v>38</v>
      </c>
      <c r="F5" s="12" t="s">
        <v>39</v>
      </c>
      <c r="G5" s="12" t="s">
        <v>38</v>
      </c>
      <c r="H5" s="12" t="s">
        <v>39</v>
      </c>
      <c r="I5" s="12" t="s">
        <v>38</v>
      </c>
      <c r="J5" s="12" t="s">
        <v>39</v>
      </c>
      <c r="K5" s="12" t="s">
        <v>38</v>
      </c>
      <c r="L5" s="12" t="s">
        <v>39</v>
      </c>
      <c r="M5" s="12" t="s">
        <v>38</v>
      </c>
      <c r="N5" s="12" t="s">
        <v>39</v>
      </c>
      <c r="O5" s="11"/>
      <c r="P5" s="12" t="s">
        <v>38</v>
      </c>
      <c r="Q5" s="12" t="s">
        <v>39</v>
      </c>
    </row>
    <row r="6" customFormat="false" ht="15" hidden="false" customHeight="false" outlineLevel="0" collapsed="false">
      <c r="A6" s="13" t="n">
        <f aca="false">SUMIFS($O$8:$O$500,$B$8:$B$500,"Air")</f>
        <v>1.63941400492287</v>
      </c>
      <c r="B6" s="14" t="n">
        <f aca="false">SUMIFS($N$8:$N$500,$B$8:$B$500,"Air")</f>
        <v>368.538825622337</v>
      </c>
      <c r="C6" s="13" t="n">
        <f aca="false">SUMIFS($O$8:$O$500,$B$8:$B$500,"Carbon Dioxide")</f>
        <v>0</v>
      </c>
      <c r="D6" s="14" t="n">
        <f aca="false">SUMIFS($N$8:$N$500,$B$8:$B$500,"Carbon Dioxide")</f>
        <v>0</v>
      </c>
      <c r="E6" s="13" t="n">
        <f aca="false">SUMIFS($O$8:$O$500,$B$8:$B$500,"Argon")</f>
        <v>0</v>
      </c>
      <c r="F6" s="14" t="n">
        <f aca="false">SUMIFS($N$8:$N$500,$B$8:$B$500,"Argon")</f>
        <v>0</v>
      </c>
      <c r="G6" s="13" t="n">
        <f aca="false">SUMIFS($O$8:$O$500,$B$8:$B$500,"Helium")</f>
        <v>0</v>
      </c>
      <c r="H6" s="14" t="n">
        <f aca="false">SUMIFS($N$8:$N$500,$B$8:$B$500,"Helium")</f>
        <v>0</v>
      </c>
      <c r="I6" s="13" t="n">
        <f aca="false">SUMIFS($O$8:$O$500,$B$8:$B$500,"Hydrogen")</f>
        <v>0</v>
      </c>
      <c r="J6" s="14" t="n">
        <f aca="false">SUMIFS($N$8:$N$500,$B$8:$B$500,"Hydrogen")</f>
        <v>0</v>
      </c>
      <c r="K6" s="13" t="n">
        <f aca="false">SUMIFS($O$8:$O$500,$B$8:$B$500,"Nitrogen")</f>
        <v>0</v>
      </c>
      <c r="L6" s="14" t="n">
        <f aca="false">SUMIFS($N$8:$N$500,$B$8:$B$500,"Nitrogen")</f>
        <v>0</v>
      </c>
      <c r="M6" s="13" t="n">
        <f aca="false">SUM($O$8:$O$500)-SUMIFS($O$8:$O$500,$B$8:$B$500,"Open Blow")</f>
        <v>1.63941400492287</v>
      </c>
      <c r="N6" s="14" t="n">
        <f aca="false">SUM($N$8:$N$500)-SUMIFS($N$8:$N$500,$B$8:$B$500,"Open Blow")</f>
        <v>368.538825622337</v>
      </c>
      <c r="O6" s="15" t="n">
        <f aca="false">IFERROR(COUNTIFS($M$8:$M$500,"Y",$D$8:$D$500,"&gt;0",$B$8:$B$500,"&lt;&gt;Open Blow")/COUNTIFS($D$8:$D$500,"&gt;0",$B$8:$B$500,"&lt;&gt;Open Blow"),0)</f>
        <v>0</v>
      </c>
      <c r="P6" s="13" t="n">
        <f aca="false">SUMIFS($O$8:$O$500,$M$8:$M$500,"Y",$B$8:$B$500,"&lt;&gt;Open Blow")</f>
        <v>0</v>
      </c>
      <c r="Q6" s="14" t="n">
        <f aca="false">SUMIFS($N$8:$N$500,$M$8:$M$500,"Y",$B$8:$B$500,"&lt;&gt;Open Blow")</f>
        <v>0</v>
      </c>
    </row>
    <row r="7" customFormat="false" ht="42" hidden="false" customHeight="true" outlineLevel="0" collapsed="false">
      <c r="A7" s="12" t="s">
        <v>40</v>
      </c>
      <c r="B7" s="12" t="s">
        <v>41</v>
      </c>
      <c r="C7" s="12" t="s">
        <v>42</v>
      </c>
      <c r="D7" s="12" t="s">
        <v>43</v>
      </c>
      <c r="E7" s="11" t="s">
        <v>44</v>
      </c>
      <c r="F7" s="11"/>
      <c r="G7" s="11"/>
      <c r="H7" s="11"/>
      <c r="I7" s="11" t="s">
        <v>45</v>
      </c>
      <c r="J7" s="11"/>
      <c r="K7" s="11"/>
      <c r="L7" s="11"/>
      <c r="M7" s="12" t="s">
        <v>46</v>
      </c>
      <c r="N7" s="12" t="s">
        <v>47</v>
      </c>
      <c r="O7" s="12" t="s">
        <v>48</v>
      </c>
      <c r="P7" s="12" t="s">
        <v>49</v>
      </c>
      <c r="Q7" s="12" t="s">
        <v>50</v>
      </c>
      <c r="S7" s="8" t="s">
        <v>51</v>
      </c>
      <c r="U7" s="12" t="s">
        <v>52</v>
      </c>
    </row>
    <row r="8" customFormat="false" ht="15" hidden="false" customHeight="false" outlineLevel="0" collapsed="false">
      <c r="A8" s="16" t="n">
        <v>1</v>
      </c>
      <c r="B8" s="17" t="s">
        <v>6</v>
      </c>
      <c r="C8" s="17" t="n">
        <v>100</v>
      </c>
      <c r="D8" s="17" t="n">
        <v>30</v>
      </c>
      <c r="E8" s="17" t="s">
        <v>53</v>
      </c>
      <c r="F8" s="17"/>
      <c r="G8" s="17"/>
      <c r="H8" s="17"/>
      <c r="I8" s="17" t="s">
        <v>54</v>
      </c>
      <c r="J8" s="17"/>
      <c r="K8" s="17"/>
      <c r="L8" s="17"/>
      <c r="M8" s="17" t="s">
        <v>55</v>
      </c>
      <c r="N8" s="18" t="n">
        <f aca="false">IF($O8=0,0,$O8*60*Cost!$D$16*Cost!$D$17*IFERROR(INDEX(Cost!$I$5:$I$11,MATCH($B8,Cost!$H$5:$H$11,0)),0)/Cost!$D$5)</f>
        <v>368.538825622337</v>
      </c>
      <c r="O8" s="19" t="n">
        <f aca="false">IF($W8="",0,IF(INDEX('Flow Curves'!$A$5:$A$11,$X8)=INDEX('Flow Curves'!$A$5:$A$11,$W8),$Y8,$Y8+($Z8-$Y8)*(MAX(10,MIN(150,$C8))-INDEX('Flow Curves'!$A$5:$A$11,$W8))/(INDEX('Flow Curves'!$A$5:$A$11,$X8)-INDEX('Flow Curves'!$A$5:$A$11,$W8))))</f>
        <v>1.63941400492287</v>
      </c>
      <c r="P8" s="20" t="n">
        <f aca="false">IF(OR($B8="Air",$B8="Open Blow"),$O8*60*Cost!$D$16*Cost!$D$17/Cost!$D$5*Cost!$D$13,0)</f>
        <v>2834.91404324875</v>
      </c>
      <c r="Q8" s="17"/>
      <c r="S8" s="21" t="n">
        <f aca="false">SUMIFS($P$8:$P$500,$B$8:$B$500,"Air")</f>
        <v>2834.91404324875</v>
      </c>
      <c r="T8" s="2" t="s">
        <v>56</v>
      </c>
      <c r="U8" s="16" t="str">
        <f aca="false">IF($D8="","",IF(ISNA(MATCH($B8,Cost!$H$5:$H$11,0)),"CHECK GAS TYPE",IF(OR($C8&lt;10,$C8&gt;150),"CHECK PRESSURE: outside 10-150 psi table",IF(OR($D8&lt;1,$D8&gt;120),"CHECK dB: outside 1-120 table",IF(ISNA(MATCH($C8,'Flow Curves'!$A$5:$A$11,0)),"INTERPOLATED between curves","Table curve")))))</f>
        <v>Table curve</v>
      </c>
      <c r="W8" s="2" t="n">
        <f aca="false">IF(OR($D8="",$C8=""),"",MATCH(MAX(10,MIN(150,$C8)),'Flow Curves'!$A$5:$A$11,1))</f>
        <v>5</v>
      </c>
      <c r="X8" s="2" t="n">
        <f aca="false">IF($W8="","",MIN($W8+1,7))</f>
        <v>6</v>
      </c>
      <c r="Y8" s="2" t="n">
        <f aca="false">IF($W8="","",INDEX('Flow Curves'!$B$5:$B$11,$W8)*POWER($D8,INDEX('Flow Curves'!$C$5:$C$11,$W8)))</f>
        <v>1.63941400492287</v>
      </c>
      <c r="Z8" s="2" t="n">
        <f aca="false">IF($W8="","",INDEX('Flow Curves'!$B$5:$B$11,$X8)*POWER($D8,INDEX('Flow Curves'!$C$5:$C$11,$X8)))</f>
        <v>1.9064471257583</v>
      </c>
    </row>
    <row r="9" customFormat="false" ht="15" hidden="false" customHeight="false" outlineLevel="0" collapsed="false">
      <c r="A9" s="16" t="n">
        <v>2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8" t="n">
        <f aca="false">IF($O9=0,0,$O9*60*Cost!$D$16*Cost!$D$17*IFERROR(INDEX(Cost!$I$5:$I$11,MATCH($B9,Cost!$H$5:$H$11,0)),0)/Cost!$D$5)</f>
        <v>0</v>
      </c>
      <c r="O9" s="19" t="n">
        <f aca="false">IF($W9="",0,IF(INDEX('Flow Curves'!$A$5:$A$11,$X9)=INDEX('Flow Curves'!$A$5:$A$11,$W9),$Y9,$Y9+($Z9-$Y9)*(MAX(10,MIN(150,$C9))-INDEX('Flow Curves'!$A$5:$A$11,$W9))/(INDEX('Flow Curves'!$A$5:$A$11,$X9)-INDEX('Flow Curves'!$A$5:$A$11,$W9))))</f>
        <v>0</v>
      </c>
      <c r="P9" s="20" t="n">
        <f aca="false">IF(OR($B9="Air",$B9="Open Blow"),$O9*60*Cost!$D$16*Cost!$D$17/Cost!$D$5*Cost!$D$13,0)</f>
        <v>0</v>
      </c>
      <c r="Q9" s="17"/>
      <c r="S9" s="22" t="n">
        <f aca="false">S8/(Cost!$D$16*Cost!$D$17)</f>
        <v>0.323620324571775</v>
      </c>
      <c r="T9" s="2" t="s">
        <v>57</v>
      </c>
      <c r="U9" s="16" t="str">
        <f aca="false">IF($D9="","",IF(ISNA(MATCH($B9,Cost!$H$5:$H$11,0)),"CHECK GAS TYPE",IF(OR($C9&lt;10,$C9&gt;150),"CHECK PRESSURE: outside 10-150 psi table",IF(OR($D9&lt;1,$D9&gt;120),"CHECK dB: outside 1-120 table",IF(ISNA(MATCH($C9,'Flow Curves'!$A$5:$A$11,0)),"INTERPOLATED between curves","Table curve")))))</f>
        <v/>
      </c>
      <c r="W9" s="2" t="str">
        <f aca="false">IF(OR($D9="",$C9=""),"",MATCH(MAX(10,MIN(150,$C9)),'Flow Curves'!$A$5:$A$11,1))</f>
        <v/>
      </c>
      <c r="X9" s="2" t="str">
        <f aca="false">IF($W9="","",MIN($W9+1,7))</f>
        <v/>
      </c>
      <c r="Y9" s="2" t="str">
        <f aca="false">IF($W9="","",INDEX('Flow Curves'!$B$5:$B$11,$W9)*POWER($D9,INDEX('Flow Curves'!$C$5:$C$11,$W9)))</f>
        <v/>
      </c>
      <c r="Z9" s="2" t="str">
        <f aca="false">IF($W9="","",INDEX('Flow Curves'!$B$5:$B$11,$X9)*POWER($D9,INDEX('Flow Curves'!$C$5:$C$11,$X9)))</f>
        <v/>
      </c>
    </row>
    <row r="10" customFormat="false" ht="15" hidden="false" customHeight="false" outlineLevel="0" collapsed="false">
      <c r="A10" s="16" t="n">
        <v>3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8" t="n">
        <f aca="false">IF($O10=0,0,$O10*60*Cost!$D$16*Cost!$D$17*IFERROR(INDEX(Cost!$I$5:$I$11,MATCH($B10,Cost!$H$5:$H$11,0)),0)/Cost!$D$5)</f>
        <v>0</v>
      </c>
      <c r="O10" s="19" t="n">
        <f aca="false">IF($W10="",0,IF(INDEX('Flow Curves'!$A$5:$A$11,$X10)=INDEX('Flow Curves'!$A$5:$A$11,$W10),$Y10,$Y10+($Z10-$Y10)*(MAX(10,MIN(150,$C10))-INDEX('Flow Curves'!$A$5:$A$11,$W10))/(INDEX('Flow Curves'!$A$5:$A$11,$X10)-INDEX('Flow Curves'!$A$5:$A$11,$W10))))</f>
        <v>0</v>
      </c>
      <c r="P10" s="20" t="n">
        <f aca="false">IF(OR($B10="Air",$B10="Open Blow"),$O10*60*Cost!$D$16*Cost!$D$17/Cost!$D$5*Cost!$D$13,0)</f>
        <v>0</v>
      </c>
      <c r="Q10" s="17"/>
      <c r="S10" s="22" t="n">
        <f aca="false">S9/0.746</f>
        <v>0.433807405592192</v>
      </c>
      <c r="T10" s="2" t="s">
        <v>58</v>
      </c>
      <c r="U10" s="16" t="str">
        <f aca="false">IF($D10="","",IF(ISNA(MATCH($B10,Cost!$H$5:$H$11,0)),"CHECK GAS TYPE",IF(OR($C10&lt;10,$C10&gt;150),"CHECK PRESSURE: outside 10-150 psi table",IF(OR($D10&lt;1,$D10&gt;120),"CHECK dB: outside 1-120 table",IF(ISNA(MATCH($C10,'Flow Curves'!$A$5:$A$11,0)),"INTERPOLATED between curves","Table curve")))))</f>
        <v/>
      </c>
      <c r="W10" s="2" t="str">
        <f aca="false">IF(OR($D10="",$C10=""),"",MATCH(MAX(10,MIN(150,$C10)),'Flow Curves'!$A$5:$A$11,1))</f>
        <v/>
      </c>
      <c r="X10" s="2" t="str">
        <f aca="false">IF($W10="","",MIN($W10+1,7))</f>
        <v/>
      </c>
      <c r="Y10" s="2" t="str">
        <f aca="false">IF($W10="","",INDEX('Flow Curves'!$B$5:$B$11,$W10)*POWER($D10,INDEX('Flow Curves'!$C$5:$C$11,$W10)))</f>
        <v/>
      </c>
      <c r="Z10" s="2" t="str">
        <f aca="false">IF($W10="","",INDEX('Flow Curves'!$B$5:$B$11,$X10)*POWER($D10,INDEX('Flow Curves'!$C$5:$C$11,$X10)))</f>
        <v/>
      </c>
    </row>
    <row r="11" customFormat="false" ht="15" hidden="false" customHeight="false" outlineLevel="0" collapsed="false">
      <c r="A11" s="16" t="n">
        <v>4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8" t="n">
        <f aca="false">IF($O11=0,0,$O11*60*Cost!$D$16*Cost!$D$17*IFERROR(INDEX(Cost!$I$5:$I$11,MATCH($B11,Cost!$H$5:$H$11,0)),0)/Cost!$D$5)</f>
        <v>0</v>
      </c>
      <c r="O11" s="19" t="n">
        <f aca="false">IF($W11="",0,IF(INDEX('Flow Curves'!$A$5:$A$11,$X11)=INDEX('Flow Curves'!$A$5:$A$11,$W11),$Y11,$Y11+($Z11-$Y11)*(MAX(10,MIN(150,$C11))-INDEX('Flow Curves'!$A$5:$A$11,$W11))/(INDEX('Flow Curves'!$A$5:$A$11,$X11)-INDEX('Flow Curves'!$A$5:$A$11,$W11))))</f>
        <v>0</v>
      </c>
      <c r="P11" s="20" t="n">
        <f aca="false">IF(OR($B11="Air",$B11="Open Blow"),$O11*60*Cost!$D$16*Cost!$D$17/Cost!$D$5*Cost!$D$13,0)</f>
        <v>0</v>
      </c>
      <c r="Q11" s="17"/>
      <c r="U11" s="16" t="str">
        <f aca="false">IF($D11="","",IF(ISNA(MATCH($B11,Cost!$H$5:$H$11,0)),"CHECK GAS TYPE",IF(OR($C11&lt;10,$C11&gt;150),"CHECK PRESSURE: outside 10-150 psi table",IF(OR($D11&lt;1,$D11&gt;120),"CHECK dB: outside 1-120 table",IF(ISNA(MATCH($C11,'Flow Curves'!$A$5:$A$11,0)),"INTERPOLATED between curves","Table curve")))))</f>
        <v/>
      </c>
      <c r="W11" s="2" t="str">
        <f aca="false">IF(OR($D11="",$C11=""),"",MATCH(MAX(10,MIN(150,$C11)),'Flow Curves'!$A$5:$A$11,1))</f>
        <v/>
      </c>
      <c r="X11" s="2" t="str">
        <f aca="false">IF($W11="","",MIN($W11+1,7))</f>
        <v/>
      </c>
      <c r="Y11" s="2" t="str">
        <f aca="false">IF($W11="","",INDEX('Flow Curves'!$B$5:$B$11,$W11)*POWER($D11,INDEX('Flow Curves'!$C$5:$C$11,$W11)))</f>
        <v/>
      </c>
      <c r="Z11" s="2" t="str">
        <f aca="false">IF($W11="","",INDEX('Flow Curves'!$B$5:$B$11,$X11)*POWER($D11,INDEX('Flow Curves'!$C$5:$C$11,$X11)))</f>
        <v/>
      </c>
    </row>
    <row r="12" customFormat="false" ht="15" hidden="false" customHeight="false" outlineLevel="0" collapsed="false">
      <c r="A12" s="16" t="n">
        <v>5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8" t="n">
        <f aca="false">IF($O12=0,0,$O12*60*Cost!$D$16*Cost!$D$17*IFERROR(INDEX(Cost!$I$5:$I$11,MATCH($B12,Cost!$H$5:$H$11,0)),0)/Cost!$D$5)</f>
        <v>0</v>
      </c>
      <c r="O12" s="19" t="n">
        <f aca="false">IF($W12="",0,IF(INDEX('Flow Curves'!$A$5:$A$11,$X12)=INDEX('Flow Curves'!$A$5:$A$11,$W12),$Y12,$Y12+($Z12-$Y12)*(MAX(10,MIN(150,$C12))-INDEX('Flow Curves'!$A$5:$A$11,$W12))/(INDEX('Flow Curves'!$A$5:$A$11,$X12)-INDEX('Flow Curves'!$A$5:$A$11,$W12))))</f>
        <v>0</v>
      </c>
      <c r="P12" s="20" t="n">
        <f aca="false">IF(OR($B12="Air",$B12="Open Blow"),$O12*60*Cost!$D$16*Cost!$D$17/Cost!$D$5*Cost!$D$13,0)</f>
        <v>0</v>
      </c>
      <c r="Q12" s="17"/>
      <c r="S12" s="8" t="s">
        <v>59</v>
      </c>
      <c r="U12" s="16" t="str">
        <f aca="false">IF($D12="","",IF(ISNA(MATCH($B12,Cost!$H$5:$H$11,0)),"CHECK GAS TYPE",IF(OR($C12&lt;10,$C12&gt;150),"CHECK PRESSURE: outside 10-150 psi table",IF(OR($D12&lt;1,$D12&gt;120),"CHECK dB: outside 1-120 table",IF(ISNA(MATCH($C12,'Flow Curves'!$A$5:$A$11,0)),"INTERPOLATED between curves","Table curve")))))</f>
        <v/>
      </c>
      <c r="W12" s="2" t="str">
        <f aca="false">IF(OR($D12="",$C12=""),"",MATCH(MAX(10,MIN(150,$C12)),'Flow Curves'!$A$5:$A$11,1))</f>
        <v/>
      </c>
      <c r="X12" s="2" t="str">
        <f aca="false">IF($W12="","",MIN($W12+1,7))</f>
        <v/>
      </c>
      <c r="Y12" s="2" t="str">
        <f aca="false">IF($W12="","",INDEX('Flow Curves'!$B$5:$B$11,$W12)*POWER($D12,INDEX('Flow Curves'!$C$5:$C$11,$W12)))</f>
        <v/>
      </c>
      <c r="Z12" s="2" t="str">
        <f aca="false">IF($W12="","",INDEX('Flow Curves'!$B$5:$B$11,$X12)*POWER($D12,INDEX('Flow Curves'!$C$5:$C$11,$X12)))</f>
        <v/>
      </c>
    </row>
    <row r="13" customFormat="false" ht="15" hidden="false" customHeight="false" outlineLevel="0" collapsed="false">
      <c r="A13" s="16" t="n">
        <v>6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8" t="n">
        <f aca="false">IF($O13=0,0,$O13*60*Cost!$D$16*Cost!$D$17*IFERROR(INDEX(Cost!$I$5:$I$11,MATCH($B13,Cost!$H$5:$H$11,0)),0)/Cost!$D$5)</f>
        <v>0</v>
      </c>
      <c r="O13" s="19" t="n">
        <f aca="false">IF($W13="",0,IF(INDEX('Flow Curves'!$A$5:$A$11,$X13)=INDEX('Flow Curves'!$A$5:$A$11,$W13),$Y13,$Y13+($Z13-$Y13)*(MAX(10,MIN(150,$C13))-INDEX('Flow Curves'!$A$5:$A$11,$W13))/(INDEX('Flow Curves'!$A$5:$A$11,$X13)-INDEX('Flow Curves'!$A$5:$A$11,$W13))))</f>
        <v>0</v>
      </c>
      <c r="P13" s="20" t="n">
        <f aca="false">IF(OR($B13="Air",$B13="Open Blow"),$O13*60*Cost!$D$16*Cost!$D$17/Cost!$D$5*Cost!$D$13,0)</f>
        <v>0</v>
      </c>
      <c r="Q13" s="17"/>
      <c r="S13" s="21" t="n">
        <f aca="false">SUMIFS($P$8:$P$500,$B$8:$B$500,"Air",$M$8:$M$500,"Y")</f>
        <v>0</v>
      </c>
      <c r="T13" s="2" t="s">
        <v>56</v>
      </c>
      <c r="U13" s="16" t="str">
        <f aca="false">IF($D13="","",IF(ISNA(MATCH($B13,Cost!$H$5:$H$11,0)),"CHECK GAS TYPE",IF(OR($C13&lt;10,$C13&gt;150),"CHECK PRESSURE: outside 10-150 psi table",IF(OR($D13&lt;1,$D13&gt;120),"CHECK dB: outside 1-120 table",IF(ISNA(MATCH($C13,'Flow Curves'!$A$5:$A$11,0)),"INTERPOLATED between curves","Table curve")))))</f>
        <v/>
      </c>
      <c r="W13" s="2" t="str">
        <f aca="false">IF(OR($D13="",$C13=""),"",MATCH(MAX(10,MIN(150,$C13)),'Flow Curves'!$A$5:$A$11,1))</f>
        <v/>
      </c>
      <c r="X13" s="2" t="str">
        <f aca="false">IF($W13="","",MIN($W13+1,7))</f>
        <v/>
      </c>
      <c r="Y13" s="2" t="str">
        <f aca="false">IF($W13="","",INDEX('Flow Curves'!$B$5:$B$11,$W13)*POWER($D13,INDEX('Flow Curves'!$C$5:$C$11,$W13)))</f>
        <v/>
      </c>
      <c r="Z13" s="2" t="str">
        <f aca="false">IF($W13="","",INDEX('Flow Curves'!$B$5:$B$11,$X13)*POWER($D13,INDEX('Flow Curves'!$C$5:$C$11,$X13)))</f>
        <v/>
      </c>
    </row>
    <row r="14" customFormat="false" ht="15" hidden="false" customHeight="false" outlineLevel="0" collapsed="false">
      <c r="A14" s="16" t="n">
        <v>7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8" t="n">
        <f aca="false">IF($O14=0,0,$O14*60*Cost!$D$16*Cost!$D$17*IFERROR(INDEX(Cost!$I$5:$I$11,MATCH($B14,Cost!$H$5:$H$11,0)),0)/Cost!$D$5)</f>
        <v>0</v>
      </c>
      <c r="O14" s="19" t="n">
        <f aca="false">IF($W14="",0,IF(INDEX('Flow Curves'!$A$5:$A$11,$X14)=INDEX('Flow Curves'!$A$5:$A$11,$W14),$Y14,$Y14+($Z14-$Y14)*(MAX(10,MIN(150,$C14))-INDEX('Flow Curves'!$A$5:$A$11,$W14))/(INDEX('Flow Curves'!$A$5:$A$11,$X14)-INDEX('Flow Curves'!$A$5:$A$11,$W14))))</f>
        <v>0</v>
      </c>
      <c r="P14" s="20" t="n">
        <f aca="false">IF(OR($B14="Air",$B14="Open Blow"),$O14*60*Cost!$D$16*Cost!$D$17/Cost!$D$5*Cost!$D$13,0)</f>
        <v>0</v>
      </c>
      <c r="Q14" s="17"/>
      <c r="S14" s="22" t="n">
        <f aca="false">S13/(Cost!$D$16*Cost!$D$17)</f>
        <v>0</v>
      </c>
      <c r="T14" s="2" t="s">
        <v>57</v>
      </c>
      <c r="U14" s="16" t="str">
        <f aca="false">IF($D14="","",IF(ISNA(MATCH($B14,Cost!$H$5:$H$11,0)),"CHECK GAS TYPE",IF(OR($C14&lt;10,$C14&gt;150),"CHECK PRESSURE: outside 10-150 psi table",IF(OR($D14&lt;1,$D14&gt;120),"CHECK dB: outside 1-120 table",IF(ISNA(MATCH($C14,'Flow Curves'!$A$5:$A$11,0)),"INTERPOLATED between curves","Table curve")))))</f>
        <v/>
      </c>
      <c r="W14" s="2" t="str">
        <f aca="false">IF(OR($D14="",$C14=""),"",MATCH(MAX(10,MIN(150,$C14)),'Flow Curves'!$A$5:$A$11,1))</f>
        <v/>
      </c>
      <c r="X14" s="2" t="str">
        <f aca="false">IF($W14="","",MIN($W14+1,7))</f>
        <v/>
      </c>
      <c r="Y14" s="2" t="str">
        <f aca="false">IF($W14="","",INDEX('Flow Curves'!$B$5:$B$11,$W14)*POWER($D14,INDEX('Flow Curves'!$C$5:$C$11,$W14)))</f>
        <v/>
      </c>
      <c r="Z14" s="2" t="str">
        <f aca="false">IF($W14="","",INDEX('Flow Curves'!$B$5:$B$11,$X14)*POWER($D14,INDEX('Flow Curves'!$C$5:$C$11,$X14)))</f>
        <v/>
      </c>
    </row>
    <row r="15" customFormat="false" ht="15" hidden="false" customHeight="false" outlineLevel="0" collapsed="false">
      <c r="A15" s="16" t="n">
        <v>8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8" t="n">
        <f aca="false">IF($O15=0,0,$O15*60*Cost!$D$16*Cost!$D$17*IFERROR(INDEX(Cost!$I$5:$I$11,MATCH($B15,Cost!$H$5:$H$11,0)),0)/Cost!$D$5)</f>
        <v>0</v>
      </c>
      <c r="O15" s="19" t="n">
        <f aca="false">IF($W15="",0,IF(INDEX('Flow Curves'!$A$5:$A$11,$X15)=INDEX('Flow Curves'!$A$5:$A$11,$W15),$Y15,$Y15+($Z15-$Y15)*(MAX(10,MIN(150,$C15))-INDEX('Flow Curves'!$A$5:$A$11,$W15))/(INDEX('Flow Curves'!$A$5:$A$11,$X15)-INDEX('Flow Curves'!$A$5:$A$11,$W15))))</f>
        <v>0</v>
      </c>
      <c r="P15" s="20" t="n">
        <f aca="false">IF(OR($B15="Air",$B15="Open Blow"),$O15*60*Cost!$D$16*Cost!$D$17/Cost!$D$5*Cost!$D$13,0)</f>
        <v>0</v>
      </c>
      <c r="Q15" s="17"/>
      <c r="S15" s="22" t="n">
        <f aca="false">S14/0.746</f>
        <v>0</v>
      </c>
      <c r="T15" s="2" t="s">
        <v>58</v>
      </c>
      <c r="U15" s="16" t="str">
        <f aca="false">IF($D15="","",IF(ISNA(MATCH($B15,Cost!$H$5:$H$11,0)),"CHECK GAS TYPE",IF(OR($C15&lt;10,$C15&gt;150),"CHECK PRESSURE: outside 10-150 psi table",IF(OR($D15&lt;1,$D15&gt;120),"CHECK dB: outside 1-120 table",IF(ISNA(MATCH($C15,'Flow Curves'!$A$5:$A$11,0)),"INTERPOLATED between curves","Table curve")))))</f>
        <v/>
      </c>
      <c r="W15" s="2" t="str">
        <f aca="false">IF(OR($D15="",$C15=""),"",MATCH(MAX(10,MIN(150,$C15)),'Flow Curves'!$A$5:$A$11,1))</f>
        <v/>
      </c>
      <c r="X15" s="2" t="str">
        <f aca="false">IF($W15="","",MIN($W15+1,7))</f>
        <v/>
      </c>
      <c r="Y15" s="2" t="str">
        <f aca="false">IF($W15="","",INDEX('Flow Curves'!$B$5:$B$11,$W15)*POWER($D15,INDEX('Flow Curves'!$C$5:$C$11,$W15)))</f>
        <v/>
      </c>
      <c r="Z15" s="2" t="str">
        <f aca="false">IF($W15="","",INDEX('Flow Curves'!$B$5:$B$11,$X15)*POWER($D15,INDEX('Flow Curves'!$C$5:$C$11,$X15)))</f>
        <v/>
      </c>
    </row>
    <row r="16" customFormat="false" ht="15" hidden="false" customHeight="false" outlineLevel="0" collapsed="false">
      <c r="A16" s="16" t="n">
        <v>9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8" t="n">
        <f aca="false">IF($O16=0,0,$O16*60*Cost!$D$16*Cost!$D$17*IFERROR(INDEX(Cost!$I$5:$I$11,MATCH($B16,Cost!$H$5:$H$11,0)),0)/Cost!$D$5)</f>
        <v>0</v>
      </c>
      <c r="O16" s="19" t="n">
        <f aca="false">IF($W16="",0,IF(INDEX('Flow Curves'!$A$5:$A$11,$X16)=INDEX('Flow Curves'!$A$5:$A$11,$W16),$Y16,$Y16+($Z16-$Y16)*(MAX(10,MIN(150,$C16))-INDEX('Flow Curves'!$A$5:$A$11,$W16))/(INDEX('Flow Curves'!$A$5:$A$11,$X16)-INDEX('Flow Curves'!$A$5:$A$11,$W16))))</f>
        <v>0</v>
      </c>
      <c r="P16" s="20" t="n">
        <f aca="false">IF(OR($B16="Air",$B16="Open Blow"),$O16*60*Cost!$D$16*Cost!$D$17/Cost!$D$5*Cost!$D$13,0)</f>
        <v>0</v>
      </c>
      <c r="Q16" s="17"/>
      <c r="U16" s="16" t="str">
        <f aca="false">IF($D16="","",IF(ISNA(MATCH($B16,Cost!$H$5:$H$11,0)),"CHECK GAS TYPE",IF(OR($C16&lt;10,$C16&gt;150),"CHECK PRESSURE: outside 10-150 psi table",IF(OR($D16&lt;1,$D16&gt;120),"CHECK dB: outside 1-120 table",IF(ISNA(MATCH($C16,'Flow Curves'!$A$5:$A$11,0)),"INTERPOLATED between curves","Table curve")))))</f>
        <v/>
      </c>
      <c r="W16" s="2" t="str">
        <f aca="false">IF(OR($D16="",$C16=""),"",MATCH(MAX(10,MIN(150,$C16)),'Flow Curves'!$A$5:$A$11,1))</f>
        <v/>
      </c>
      <c r="X16" s="2" t="str">
        <f aca="false">IF($W16="","",MIN($W16+1,7))</f>
        <v/>
      </c>
      <c r="Y16" s="2" t="str">
        <f aca="false">IF($W16="","",INDEX('Flow Curves'!$B$5:$B$11,$W16)*POWER($D16,INDEX('Flow Curves'!$C$5:$C$11,$W16)))</f>
        <v/>
      </c>
      <c r="Z16" s="2" t="str">
        <f aca="false">IF($W16="","",INDEX('Flow Curves'!$B$5:$B$11,$X16)*POWER($D16,INDEX('Flow Curves'!$C$5:$C$11,$X16)))</f>
        <v/>
      </c>
    </row>
    <row r="17" customFormat="false" ht="15" hidden="false" customHeight="false" outlineLevel="0" collapsed="false">
      <c r="A17" s="16" t="n">
        <v>10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8" t="n">
        <f aca="false">IF($O17=0,0,$O17*60*Cost!$D$16*Cost!$D$17*IFERROR(INDEX(Cost!$I$5:$I$11,MATCH($B17,Cost!$H$5:$H$11,0)),0)/Cost!$D$5)</f>
        <v>0</v>
      </c>
      <c r="O17" s="19" t="n">
        <f aca="false">IF($W17="",0,IF(INDEX('Flow Curves'!$A$5:$A$11,$X17)=INDEX('Flow Curves'!$A$5:$A$11,$W17),$Y17,$Y17+($Z17-$Y17)*(MAX(10,MIN(150,$C17))-INDEX('Flow Curves'!$A$5:$A$11,$W17))/(INDEX('Flow Curves'!$A$5:$A$11,$X17)-INDEX('Flow Curves'!$A$5:$A$11,$W17))))</f>
        <v>0</v>
      </c>
      <c r="P17" s="20" t="n">
        <f aca="false">IF(OR($B17="Air",$B17="Open Blow"),$O17*60*Cost!$D$16*Cost!$D$17/Cost!$D$5*Cost!$D$13,0)</f>
        <v>0</v>
      </c>
      <c r="Q17" s="17"/>
      <c r="S17" s="8" t="s">
        <v>60</v>
      </c>
      <c r="U17" s="16" t="str">
        <f aca="false">IF($D17="","",IF(ISNA(MATCH($B17,Cost!$H$5:$H$11,0)),"CHECK GAS TYPE",IF(OR($C17&lt;10,$C17&gt;150),"CHECK PRESSURE: outside 10-150 psi table",IF(OR($D17&lt;1,$D17&gt;120),"CHECK dB: outside 1-120 table",IF(ISNA(MATCH($C17,'Flow Curves'!$A$5:$A$11,0)),"INTERPOLATED between curves","Table curve")))))</f>
        <v/>
      </c>
      <c r="W17" s="2" t="str">
        <f aca="false">IF(OR($D17="",$C17=""),"",MATCH(MAX(10,MIN(150,$C17)),'Flow Curves'!$A$5:$A$11,1))</f>
        <v/>
      </c>
      <c r="X17" s="2" t="str">
        <f aca="false">IF($W17="","",MIN($W17+1,7))</f>
        <v/>
      </c>
      <c r="Y17" s="2" t="str">
        <f aca="false">IF($W17="","",INDEX('Flow Curves'!$B$5:$B$11,$W17)*POWER($D17,INDEX('Flow Curves'!$C$5:$C$11,$W17)))</f>
        <v/>
      </c>
      <c r="Z17" s="2" t="str">
        <f aca="false">IF($W17="","",INDEX('Flow Curves'!$B$5:$B$11,$X17)*POWER($D17,INDEX('Flow Curves'!$C$5:$C$11,$X17)))</f>
        <v/>
      </c>
    </row>
    <row r="18" customFormat="false" ht="15" hidden="false" customHeight="false" outlineLevel="0" collapsed="false">
      <c r="A18" s="16" t="n">
        <v>11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8" t="n">
        <f aca="false">IF($O18=0,0,$O18*60*Cost!$D$16*Cost!$D$17*IFERROR(INDEX(Cost!$I$5:$I$11,MATCH($B18,Cost!$H$5:$H$11,0)),0)/Cost!$D$5)</f>
        <v>0</v>
      </c>
      <c r="O18" s="19" t="n">
        <f aca="false">IF($W18="",0,IF(INDEX('Flow Curves'!$A$5:$A$11,$X18)=INDEX('Flow Curves'!$A$5:$A$11,$W18),$Y18,$Y18+($Z18-$Y18)*(MAX(10,MIN(150,$C18))-INDEX('Flow Curves'!$A$5:$A$11,$W18))/(INDEX('Flow Curves'!$A$5:$A$11,$X18)-INDEX('Flow Curves'!$A$5:$A$11,$W18))))</f>
        <v>0</v>
      </c>
      <c r="P18" s="20" t="n">
        <f aca="false">IF(OR($B18="Air",$B18="Open Blow"),$O18*60*Cost!$D$16*Cost!$D$17/Cost!$D$5*Cost!$D$13,0)</f>
        <v>0</v>
      </c>
      <c r="Q18" s="17"/>
      <c r="S18" s="22" t="n">
        <f aca="false">SUMIFS($O$8:$O$500,$B$8:$B$500,"Open Blow")</f>
        <v>0</v>
      </c>
      <c r="T18" s="2" t="s">
        <v>38</v>
      </c>
      <c r="U18" s="16" t="str">
        <f aca="false">IF($D18="","",IF(ISNA(MATCH($B18,Cost!$H$5:$H$11,0)),"CHECK GAS TYPE",IF(OR($C18&lt;10,$C18&gt;150),"CHECK PRESSURE: outside 10-150 psi table",IF(OR($D18&lt;1,$D18&gt;120),"CHECK dB: outside 1-120 table",IF(ISNA(MATCH($C18,'Flow Curves'!$A$5:$A$11,0)),"INTERPOLATED between curves","Table curve")))))</f>
        <v/>
      </c>
      <c r="W18" s="2" t="str">
        <f aca="false">IF(OR($D18="",$C18=""),"",MATCH(MAX(10,MIN(150,$C18)),'Flow Curves'!$A$5:$A$11,1))</f>
        <v/>
      </c>
      <c r="X18" s="2" t="str">
        <f aca="false">IF($W18="","",MIN($W18+1,7))</f>
        <v/>
      </c>
      <c r="Y18" s="2" t="str">
        <f aca="false">IF($W18="","",INDEX('Flow Curves'!$B$5:$B$11,$W18)*POWER($D18,INDEX('Flow Curves'!$C$5:$C$11,$W18)))</f>
        <v/>
      </c>
      <c r="Z18" s="2" t="str">
        <f aca="false">IF($W18="","",INDEX('Flow Curves'!$B$5:$B$11,$X18)*POWER($D18,INDEX('Flow Curves'!$C$5:$C$11,$X18)))</f>
        <v/>
      </c>
    </row>
    <row r="19" customFormat="false" ht="15" hidden="false" customHeight="false" outlineLevel="0" collapsed="false">
      <c r="A19" s="16" t="n">
        <v>12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8" t="n">
        <f aca="false">IF($O19=0,0,$O19*60*Cost!$D$16*Cost!$D$17*IFERROR(INDEX(Cost!$I$5:$I$11,MATCH($B19,Cost!$H$5:$H$11,0)),0)/Cost!$D$5)</f>
        <v>0</v>
      </c>
      <c r="O19" s="19" t="n">
        <f aca="false">IF($W19="",0,IF(INDEX('Flow Curves'!$A$5:$A$11,$X19)=INDEX('Flow Curves'!$A$5:$A$11,$W19),$Y19,$Y19+($Z19-$Y19)*(MAX(10,MIN(150,$C19))-INDEX('Flow Curves'!$A$5:$A$11,$W19))/(INDEX('Flow Curves'!$A$5:$A$11,$X19)-INDEX('Flow Curves'!$A$5:$A$11,$W19))))</f>
        <v>0</v>
      </c>
      <c r="P19" s="20" t="n">
        <f aca="false">IF(OR($B19="Air",$B19="Open Blow"),$O19*60*Cost!$D$16*Cost!$D$17/Cost!$D$5*Cost!$D$13,0)</f>
        <v>0</v>
      </c>
      <c r="Q19" s="17"/>
      <c r="S19" s="23" t="n">
        <f aca="false">SUMIFS($N$8:$N$500,$B$8:$B$500,"Open Blow")</f>
        <v>0</v>
      </c>
      <c r="T19" s="2" t="s">
        <v>61</v>
      </c>
      <c r="U19" s="16" t="str">
        <f aca="false">IF($D19="","",IF(ISNA(MATCH($B19,Cost!$H$5:$H$11,0)),"CHECK GAS TYPE",IF(OR($C19&lt;10,$C19&gt;150),"CHECK PRESSURE: outside 10-150 psi table",IF(OR($D19&lt;1,$D19&gt;120),"CHECK dB: outside 1-120 table",IF(ISNA(MATCH($C19,'Flow Curves'!$A$5:$A$11,0)),"INTERPOLATED between curves","Table curve")))))</f>
        <v/>
      </c>
      <c r="W19" s="2" t="str">
        <f aca="false">IF(OR($D19="",$C19=""),"",MATCH(MAX(10,MIN(150,$C19)),'Flow Curves'!$A$5:$A$11,1))</f>
        <v/>
      </c>
      <c r="X19" s="2" t="str">
        <f aca="false">IF($W19="","",MIN($W19+1,7))</f>
        <v/>
      </c>
      <c r="Y19" s="2" t="str">
        <f aca="false">IF($W19="","",INDEX('Flow Curves'!$B$5:$B$11,$W19)*POWER($D19,INDEX('Flow Curves'!$C$5:$C$11,$W19)))</f>
        <v/>
      </c>
      <c r="Z19" s="2" t="str">
        <f aca="false">IF($W19="","",INDEX('Flow Curves'!$B$5:$B$11,$X19)*POWER($D19,INDEX('Flow Curves'!$C$5:$C$11,$X19)))</f>
        <v/>
      </c>
    </row>
    <row r="20" customFormat="false" ht="15" hidden="false" customHeight="false" outlineLevel="0" collapsed="false">
      <c r="A20" s="16" t="n">
        <v>13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8" t="n">
        <f aca="false">IF($O20=0,0,$O20*60*Cost!$D$16*Cost!$D$17*IFERROR(INDEX(Cost!$I$5:$I$11,MATCH($B20,Cost!$H$5:$H$11,0)),0)/Cost!$D$5)</f>
        <v>0</v>
      </c>
      <c r="O20" s="19" t="n">
        <f aca="false">IF($W20="",0,IF(INDEX('Flow Curves'!$A$5:$A$11,$X20)=INDEX('Flow Curves'!$A$5:$A$11,$W20),$Y20,$Y20+($Z20-$Y20)*(MAX(10,MIN(150,$C20))-INDEX('Flow Curves'!$A$5:$A$11,$W20))/(INDEX('Flow Curves'!$A$5:$A$11,$X20)-INDEX('Flow Curves'!$A$5:$A$11,$W20))))</f>
        <v>0</v>
      </c>
      <c r="P20" s="20" t="n">
        <f aca="false">IF(OR($B20="Air",$B20="Open Blow"),$O20*60*Cost!$D$16*Cost!$D$17/Cost!$D$5*Cost!$D$13,0)</f>
        <v>0</v>
      </c>
      <c r="Q20" s="17"/>
      <c r="U20" s="16" t="str">
        <f aca="false">IF($D20="","",IF(ISNA(MATCH($B20,Cost!$H$5:$H$11,0)),"CHECK GAS TYPE",IF(OR($C20&lt;10,$C20&gt;150),"CHECK PRESSURE: outside 10-150 psi table",IF(OR($D20&lt;1,$D20&gt;120),"CHECK dB: outside 1-120 table",IF(ISNA(MATCH($C20,'Flow Curves'!$A$5:$A$11,0)),"INTERPOLATED between curves","Table curve")))))</f>
        <v/>
      </c>
      <c r="W20" s="2" t="str">
        <f aca="false">IF(OR($D20="",$C20=""),"",MATCH(MAX(10,MIN(150,$C20)),'Flow Curves'!$A$5:$A$11,1))</f>
        <v/>
      </c>
      <c r="X20" s="2" t="str">
        <f aca="false">IF($W20="","",MIN($W20+1,7))</f>
        <v/>
      </c>
      <c r="Y20" s="2" t="str">
        <f aca="false">IF($W20="","",INDEX('Flow Curves'!$B$5:$B$11,$W20)*POWER($D20,INDEX('Flow Curves'!$C$5:$C$11,$W20)))</f>
        <v/>
      </c>
      <c r="Z20" s="2" t="str">
        <f aca="false">IF($W20="","",INDEX('Flow Curves'!$B$5:$B$11,$X20)*POWER($D20,INDEX('Flow Curves'!$C$5:$C$11,$X20)))</f>
        <v/>
      </c>
    </row>
    <row r="21" customFormat="false" ht="15" hidden="false" customHeight="false" outlineLevel="0" collapsed="false">
      <c r="A21" s="16" t="n">
        <v>14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8" t="n">
        <f aca="false">IF($O21=0,0,$O21*60*Cost!$D$16*Cost!$D$17*IFERROR(INDEX(Cost!$I$5:$I$11,MATCH($B21,Cost!$H$5:$H$11,0)),0)/Cost!$D$5)</f>
        <v>0</v>
      </c>
      <c r="O21" s="19" t="n">
        <f aca="false">IF($W21="",0,IF(INDEX('Flow Curves'!$A$5:$A$11,$X21)=INDEX('Flow Curves'!$A$5:$A$11,$W21),$Y21,$Y21+($Z21-$Y21)*(MAX(10,MIN(150,$C21))-INDEX('Flow Curves'!$A$5:$A$11,$W21))/(INDEX('Flow Curves'!$A$5:$A$11,$X21)-INDEX('Flow Curves'!$A$5:$A$11,$W21))))</f>
        <v>0</v>
      </c>
      <c r="P21" s="20" t="n">
        <f aca="false">IF(OR($B21="Air",$B21="Open Blow"),$O21*60*Cost!$D$16*Cost!$D$17/Cost!$D$5*Cost!$D$13,0)</f>
        <v>0</v>
      </c>
      <c r="Q21" s="17"/>
      <c r="S21" s="8" t="s">
        <v>62</v>
      </c>
      <c r="U21" s="16" t="str">
        <f aca="false">IF($D21="","",IF(ISNA(MATCH($B21,Cost!$H$5:$H$11,0)),"CHECK GAS TYPE",IF(OR($C21&lt;10,$C21&gt;150),"CHECK PRESSURE: outside 10-150 psi table",IF(OR($D21&lt;1,$D21&gt;120),"CHECK dB: outside 1-120 table",IF(ISNA(MATCH($C21,'Flow Curves'!$A$5:$A$11,0)),"INTERPOLATED between curves","Table curve")))))</f>
        <v/>
      </c>
      <c r="W21" s="2" t="str">
        <f aca="false">IF(OR($D21="",$C21=""),"",MATCH(MAX(10,MIN(150,$C21)),'Flow Curves'!$A$5:$A$11,1))</f>
        <v/>
      </c>
      <c r="X21" s="2" t="str">
        <f aca="false">IF($W21="","",MIN($W21+1,7))</f>
        <v/>
      </c>
      <c r="Y21" s="2" t="str">
        <f aca="false">IF($W21="","",INDEX('Flow Curves'!$B$5:$B$11,$W21)*POWER($D21,INDEX('Flow Curves'!$C$5:$C$11,$W21)))</f>
        <v/>
      </c>
      <c r="Z21" s="2" t="str">
        <f aca="false">IF($W21="","",INDEX('Flow Curves'!$B$5:$B$11,$X21)*POWER($D21,INDEX('Flow Curves'!$C$5:$C$11,$X21)))</f>
        <v/>
      </c>
    </row>
    <row r="22" customFormat="false" ht="15" hidden="false" customHeight="false" outlineLevel="0" collapsed="false">
      <c r="A22" s="16" t="n">
        <v>15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8" t="n">
        <f aca="false">IF($O22=0,0,$O22*60*Cost!$D$16*Cost!$D$17*IFERROR(INDEX(Cost!$I$5:$I$11,MATCH($B22,Cost!$H$5:$H$11,0)),0)/Cost!$D$5)</f>
        <v>0</v>
      </c>
      <c r="O22" s="19" t="n">
        <f aca="false">IF($W22="",0,IF(INDEX('Flow Curves'!$A$5:$A$11,$X22)=INDEX('Flow Curves'!$A$5:$A$11,$W22),$Y22,$Y22+($Z22-$Y22)*(MAX(10,MIN(150,$C22))-INDEX('Flow Curves'!$A$5:$A$11,$W22))/(INDEX('Flow Curves'!$A$5:$A$11,$X22)-INDEX('Flow Curves'!$A$5:$A$11,$W22))))</f>
        <v>0</v>
      </c>
      <c r="P22" s="20" t="n">
        <f aca="false">IF(OR($B22="Air",$B22="Open Blow"),$O22*60*Cost!$D$16*Cost!$D$17/Cost!$D$5*Cost!$D$13,0)</f>
        <v>0</v>
      </c>
      <c r="Q22" s="17"/>
      <c r="S22" s="24" t="n">
        <f aca="false">COUNTIF($U$8:$U$500,"CHECK*")</f>
        <v>0</v>
      </c>
      <c r="T22" s="2" t="s">
        <v>63</v>
      </c>
      <c r="U22" s="16" t="str">
        <f aca="false">IF($D22="","",IF(ISNA(MATCH($B22,Cost!$H$5:$H$11,0)),"CHECK GAS TYPE",IF(OR($C22&lt;10,$C22&gt;150),"CHECK PRESSURE: outside 10-150 psi table",IF(OR($D22&lt;1,$D22&gt;120),"CHECK dB: outside 1-120 table",IF(ISNA(MATCH($C22,'Flow Curves'!$A$5:$A$11,0)),"INTERPOLATED between curves","Table curve")))))</f>
        <v/>
      </c>
      <c r="W22" s="2" t="str">
        <f aca="false">IF(OR($D22="",$C22=""),"",MATCH(MAX(10,MIN(150,$C22)),'Flow Curves'!$A$5:$A$11,1))</f>
        <v/>
      </c>
      <c r="X22" s="2" t="str">
        <f aca="false">IF($W22="","",MIN($W22+1,7))</f>
        <v/>
      </c>
      <c r="Y22" s="2" t="str">
        <f aca="false">IF($W22="","",INDEX('Flow Curves'!$B$5:$B$11,$W22)*POWER($D22,INDEX('Flow Curves'!$C$5:$C$11,$W22)))</f>
        <v/>
      </c>
      <c r="Z22" s="2" t="str">
        <f aca="false">IF($W22="","",INDEX('Flow Curves'!$B$5:$B$11,$X22)*POWER($D22,INDEX('Flow Curves'!$C$5:$C$11,$X22)))</f>
        <v/>
      </c>
    </row>
    <row r="23" customFormat="false" ht="15" hidden="false" customHeight="false" outlineLevel="0" collapsed="false">
      <c r="A23" s="16" t="n">
        <v>16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8" t="n">
        <f aca="false">IF($O23=0,0,$O23*60*Cost!$D$16*Cost!$D$17*IFERROR(INDEX(Cost!$I$5:$I$11,MATCH($B23,Cost!$H$5:$H$11,0)),0)/Cost!$D$5)</f>
        <v>0</v>
      </c>
      <c r="O23" s="19" t="n">
        <f aca="false">IF($W23="",0,IF(INDEX('Flow Curves'!$A$5:$A$11,$X23)=INDEX('Flow Curves'!$A$5:$A$11,$W23),$Y23,$Y23+($Z23-$Y23)*(MAX(10,MIN(150,$C23))-INDEX('Flow Curves'!$A$5:$A$11,$W23))/(INDEX('Flow Curves'!$A$5:$A$11,$X23)-INDEX('Flow Curves'!$A$5:$A$11,$W23))))</f>
        <v>0</v>
      </c>
      <c r="P23" s="20" t="n">
        <f aca="false">IF(OR($B23="Air",$B23="Open Blow"),$O23*60*Cost!$D$16*Cost!$D$17/Cost!$D$5*Cost!$D$13,0)</f>
        <v>0</v>
      </c>
      <c r="Q23" s="17"/>
      <c r="S23" s="24" t="n">
        <f aca="false">COUNTIF($U$8:$U$500,"INTERPOLATED*")</f>
        <v>0</v>
      </c>
      <c r="T23" s="2" t="s">
        <v>64</v>
      </c>
      <c r="U23" s="16" t="str">
        <f aca="false">IF($D23="","",IF(ISNA(MATCH($B23,Cost!$H$5:$H$11,0)),"CHECK GAS TYPE",IF(OR($C23&lt;10,$C23&gt;150),"CHECK PRESSURE: outside 10-150 psi table",IF(OR($D23&lt;1,$D23&gt;120),"CHECK dB: outside 1-120 table",IF(ISNA(MATCH($C23,'Flow Curves'!$A$5:$A$11,0)),"INTERPOLATED between curves","Table curve")))))</f>
        <v/>
      </c>
      <c r="W23" s="2" t="str">
        <f aca="false">IF(OR($D23="",$C23=""),"",MATCH(MAX(10,MIN(150,$C23)),'Flow Curves'!$A$5:$A$11,1))</f>
        <v/>
      </c>
      <c r="X23" s="2" t="str">
        <f aca="false">IF($W23="","",MIN($W23+1,7))</f>
        <v/>
      </c>
      <c r="Y23" s="2" t="str">
        <f aca="false">IF($W23="","",INDEX('Flow Curves'!$B$5:$B$11,$W23)*POWER($D23,INDEX('Flow Curves'!$C$5:$C$11,$W23)))</f>
        <v/>
      </c>
      <c r="Z23" s="2" t="str">
        <f aca="false">IF($W23="","",INDEX('Flow Curves'!$B$5:$B$11,$X23)*POWER($D23,INDEX('Flow Curves'!$C$5:$C$11,$X23)))</f>
        <v/>
      </c>
    </row>
    <row r="24" customFormat="false" ht="15" hidden="false" customHeight="false" outlineLevel="0" collapsed="false">
      <c r="A24" s="16" t="n">
        <v>17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8" t="n">
        <f aca="false">IF($O24=0,0,$O24*60*Cost!$D$16*Cost!$D$17*IFERROR(INDEX(Cost!$I$5:$I$11,MATCH($B24,Cost!$H$5:$H$11,0)),0)/Cost!$D$5)</f>
        <v>0</v>
      </c>
      <c r="O24" s="19" t="n">
        <f aca="false">IF($W24="",0,IF(INDEX('Flow Curves'!$A$5:$A$11,$X24)=INDEX('Flow Curves'!$A$5:$A$11,$W24),$Y24,$Y24+($Z24-$Y24)*(MAX(10,MIN(150,$C24))-INDEX('Flow Curves'!$A$5:$A$11,$W24))/(INDEX('Flow Curves'!$A$5:$A$11,$X24)-INDEX('Flow Curves'!$A$5:$A$11,$W24))))</f>
        <v>0</v>
      </c>
      <c r="P24" s="20" t="n">
        <f aca="false">IF(OR($B24="Air",$B24="Open Blow"),$O24*60*Cost!$D$16*Cost!$D$17/Cost!$D$5*Cost!$D$13,0)</f>
        <v>0</v>
      </c>
      <c r="Q24" s="17"/>
      <c r="S24" s="8" t="str">
        <f aca="false">IF(Cost!$D$6=0.13,"SET PLANT $/kWh ON COST SHEET","Rate set")</f>
        <v>SET PLANT $/kWh ON COST SHEET</v>
      </c>
      <c r="U24" s="16" t="str">
        <f aca="false">IF($D24="","",IF(ISNA(MATCH($B24,Cost!$H$5:$H$11,0)),"CHECK GAS TYPE",IF(OR($C24&lt;10,$C24&gt;150),"CHECK PRESSURE: outside 10-150 psi table",IF(OR($D24&lt;1,$D24&gt;120),"CHECK dB: outside 1-120 table",IF(ISNA(MATCH($C24,'Flow Curves'!$A$5:$A$11,0)),"INTERPOLATED between curves","Table curve")))))</f>
        <v/>
      </c>
      <c r="W24" s="2" t="str">
        <f aca="false">IF(OR($D24="",$C24=""),"",MATCH(MAX(10,MIN(150,$C24)),'Flow Curves'!$A$5:$A$11,1))</f>
        <v/>
      </c>
      <c r="X24" s="2" t="str">
        <f aca="false">IF($W24="","",MIN($W24+1,7))</f>
        <v/>
      </c>
      <c r="Y24" s="2" t="str">
        <f aca="false">IF($W24="","",INDEX('Flow Curves'!$B$5:$B$11,$W24)*POWER($D24,INDEX('Flow Curves'!$C$5:$C$11,$W24)))</f>
        <v/>
      </c>
      <c r="Z24" s="2" t="str">
        <f aca="false">IF($W24="","",INDEX('Flow Curves'!$B$5:$B$11,$X24)*POWER($D24,INDEX('Flow Curves'!$C$5:$C$11,$X24)))</f>
        <v/>
      </c>
    </row>
    <row r="25" customFormat="false" ht="15" hidden="false" customHeight="false" outlineLevel="0" collapsed="false">
      <c r="A25" s="16" t="n">
        <v>18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8" t="n">
        <f aca="false">IF($O25=0,0,$O25*60*Cost!$D$16*Cost!$D$17*IFERROR(INDEX(Cost!$I$5:$I$11,MATCH($B25,Cost!$H$5:$H$11,0)),0)/Cost!$D$5)</f>
        <v>0</v>
      </c>
      <c r="O25" s="19" t="n">
        <f aca="false">IF($W25="",0,IF(INDEX('Flow Curves'!$A$5:$A$11,$X25)=INDEX('Flow Curves'!$A$5:$A$11,$W25),$Y25,$Y25+($Z25-$Y25)*(MAX(10,MIN(150,$C25))-INDEX('Flow Curves'!$A$5:$A$11,$W25))/(INDEX('Flow Curves'!$A$5:$A$11,$X25)-INDEX('Flow Curves'!$A$5:$A$11,$W25))))</f>
        <v>0</v>
      </c>
      <c r="P25" s="20" t="n">
        <f aca="false">IF(OR($B25="Air",$B25="Open Blow"),$O25*60*Cost!$D$16*Cost!$D$17/Cost!$D$5*Cost!$D$13,0)</f>
        <v>0</v>
      </c>
      <c r="Q25" s="17"/>
      <c r="U25" s="16" t="str">
        <f aca="false">IF($D25="","",IF(ISNA(MATCH($B25,Cost!$H$5:$H$11,0)),"CHECK GAS TYPE",IF(OR($C25&lt;10,$C25&gt;150),"CHECK PRESSURE: outside 10-150 psi table",IF(OR($D25&lt;1,$D25&gt;120),"CHECK dB: outside 1-120 table",IF(ISNA(MATCH($C25,'Flow Curves'!$A$5:$A$11,0)),"INTERPOLATED between curves","Table curve")))))</f>
        <v/>
      </c>
      <c r="W25" s="2" t="str">
        <f aca="false">IF(OR($D25="",$C25=""),"",MATCH(MAX(10,MIN(150,$C25)),'Flow Curves'!$A$5:$A$11,1))</f>
        <v/>
      </c>
      <c r="X25" s="2" t="str">
        <f aca="false">IF($W25="","",MIN($W25+1,7))</f>
        <v/>
      </c>
      <c r="Y25" s="2" t="str">
        <f aca="false">IF($W25="","",INDEX('Flow Curves'!$B$5:$B$11,$W25)*POWER($D25,INDEX('Flow Curves'!$C$5:$C$11,$W25)))</f>
        <v/>
      </c>
      <c r="Z25" s="2" t="str">
        <f aca="false">IF($W25="","",INDEX('Flow Curves'!$B$5:$B$11,$X25)*POWER($D25,INDEX('Flow Curves'!$C$5:$C$11,$X25)))</f>
        <v/>
      </c>
    </row>
    <row r="26" customFormat="false" ht="15" hidden="false" customHeight="false" outlineLevel="0" collapsed="false">
      <c r="A26" s="16" t="n">
        <v>19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8" t="n">
        <f aca="false">IF($O26=0,0,$O26*60*Cost!$D$16*Cost!$D$17*IFERROR(INDEX(Cost!$I$5:$I$11,MATCH($B26,Cost!$H$5:$H$11,0)),0)/Cost!$D$5)</f>
        <v>0</v>
      </c>
      <c r="O26" s="19" t="n">
        <f aca="false">IF($W26="",0,IF(INDEX('Flow Curves'!$A$5:$A$11,$X26)=INDEX('Flow Curves'!$A$5:$A$11,$W26),$Y26,$Y26+($Z26-$Y26)*(MAX(10,MIN(150,$C26))-INDEX('Flow Curves'!$A$5:$A$11,$W26))/(INDEX('Flow Curves'!$A$5:$A$11,$X26)-INDEX('Flow Curves'!$A$5:$A$11,$W26))))</f>
        <v>0</v>
      </c>
      <c r="P26" s="20" t="n">
        <f aca="false">IF(OR($B26="Air",$B26="Open Blow"),$O26*60*Cost!$D$16*Cost!$D$17/Cost!$D$5*Cost!$D$13,0)</f>
        <v>0</v>
      </c>
      <c r="Q26" s="17"/>
      <c r="U26" s="16" t="str">
        <f aca="false">IF($D26="","",IF(ISNA(MATCH($B26,Cost!$H$5:$H$11,0)),"CHECK GAS TYPE",IF(OR($C26&lt;10,$C26&gt;150),"CHECK PRESSURE: outside 10-150 psi table",IF(OR($D26&lt;1,$D26&gt;120),"CHECK dB: outside 1-120 table",IF(ISNA(MATCH($C26,'Flow Curves'!$A$5:$A$11,0)),"INTERPOLATED between curves","Table curve")))))</f>
        <v/>
      </c>
      <c r="W26" s="2" t="str">
        <f aca="false">IF(OR($D26="",$C26=""),"",MATCH(MAX(10,MIN(150,$C26)),'Flow Curves'!$A$5:$A$11,1))</f>
        <v/>
      </c>
      <c r="X26" s="2" t="str">
        <f aca="false">IF($W26="","",MIN($W26+1,7))</f>
        <v/>
      </c>
      <c r="Y26" s="2" t="str">
        <f aca="false">IF($W26="","",INDEX('Flow Curves'!$B$5:$B$11,$W26)*POWER($D26,INDEX('Flow Curves'!$C$5:$C$11,$W26)))</f>
        <v/>
      </c>
      <c r="Z26" s="2" t="str">
        <f aca="false">IF($W26="","",INDEX('Flow Curves'!$B$5:$B$11,$X26)*POWER($D26,INDEX('Flow Curves'!$C$5:$C$11,$X26)))</f>
        <v/>
      </c>
    </row>
    <row r="27" customFormat="false" ht="15" hidden="false" customHeight="false" outlineLevel="0" collapsed="false">
      <c r="A27" s="16" t="n">
        <v>20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8" t="n">
        <f aca="false">IF($O27=0,0,$O27*60*Cost!$D$16*Cost!$D$17*IFERROR(INDEX(Cost!$I$5:$I$11,MATCH($B27,Cost!$H$5:$H$11,0)),0)/Cost!$D$5)</f>
        <v>0</v>
      </c>
      <c r="O27" s="19" t="n">
        <f aca="false">IF($W27="",0,IF(INDEX('Flow Curves'!$A$5:$A$11,$X27)=INDEX('Flow Curves'!$A$5:$A$11,$W27),$Y27,$Y27+($Z27-$Y27)*(MAX(10,MIN(150,$C27))-INDEX('Flow Curves'!$A$5:$A$11,$W27))/(INDEX('Flow Curves'!$A$5:$A$11,$X27)-INDEX('Flow Curves'!$A$5:$A$11,$W27))))</f>
        <v>0</v>
      </c>
      <c r="P27" s="20" t="n">
        <f aca="false">IF(OR($B27="Air",$B27="Open Blow"),$O27*60*Cost!$D$16*Cost!$D$17/Cost!$D$5*Cost!$D$13,0)</f>
        <v>0</v>
      </c>
      <c r="Q27" s="17"/>
      <c r="U27" s="16" t="str">
        <f aca="false">IF($D27="","",IF(ISNA(MATCH($B27,Cost!$H$5:$H$11,0)),"CHECK GAS TYPE",IF(OR($C27&lt;10,$C27&gt;150),"CHECK PRESSURE: outside 10-150 psi table",IF(OR($D27&lt;1,$D27&gt;120),"CHECK dB: outside 1-120 table",IF(ISNA(MATCH($C27,'Flow Curves'!$A$5:$A$11,0)),"INTERPOLATED between curves","Table curve")))))</f>
        <v/>
      </c>
      <c r="W27" s="2" t="str">
        <f aca="false">IF(OR($D27="",$C27=""),"",MATCH(MAX(10,MIN(150,$C27)),'Flow Curves'!$A$5:$A$11,1))</f>
        <v/>
      </c>
      <c r="X27" s="2" t="str">
        <f aca="false">IF($W27="","",MIN($W27+1,7))</f>
        <v/>
      </c>
      <c r="Y27" s="2" t="str">
        <f aca="false">IF($W27="","",INDEX('Flow Curves'!$B$5:$B$11,$W27)*POWER($D27,INDEX('Flow Curves'!$C$5:$C$11,$W27)))</f>
        <v/>
      </c>
      <c r="Z27" s="2" t="str">
        <f aca="false">IF($W27="","",INDEX('Flow Curves'!$B$5:$B$11,$X27)*POWER($D27,INDEX('Flow Curves'!$C$5:$C$11,$X27)))</f>
        <v/>
      </c>
    </row>
    <row r="28" customFormat="false" ht="15" hidden="false" customHeight="false" outlineLevel="0" collapsed="false">
      <c r="A28" s="16" t="n">
        <v>21</v>
      </c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8" t="n">
        <f aca="false">IF($O28=0,0,$O28*60*Cost!$D$16*Cost!$D$17*IFERROR(INDEX(Cost!$I$5:$I$11,MATCH($B28,Cost!$H$5:$H$11,0)),0)/Cost!$D$5)</f>
        <v>0</v>
      </c>
      <c r="O28" s="19" t="n">
        <f aca="false">IF($W28="",0,IF(INDEX('Flow Curves'!$A$5:$A$11,$X28)=INDEX('Flow Curves'!$A$5:$A$11,$W28),$Y28,$Y28+($Z28-$Y28)*(MAX(10,MIN(150,$C28))-INDEX('Flow Curves'!$A$5:$A$11,$W28))/(INDEX('Flow Curves'!$A$5:$A$11,$X28)-INDEX('Flow Curves'!$A$5:$A$11,$W28))))</f>
        <v>0</v>
      </c>
      <c r="P28" s="20" t="n">
        <f aca="false">IF(OR($B28="Air",$B28="Open Blow"),$O28*60*Cost!$D$16*Cost!$D$17/Cost!$D$5*Cost!$D$13,0)</f>
        <v>0</v>
      </c>
      <c r="Q28" s="17"/>
      <c r="U28" s="16" t="str">
        <f aca="false">IF($D28="","",IF(ISNA(MATCH($B28,Cost!$H$5:$H$11,0)),"CHECK GAS TYPE",IF(OR($C28&lt;10,$C28&gt;150),"CHECK PRESSURE: outside 10-150 psi table",IF(OR($D28&lt;1,$D28&gt;120),"CHECK dB: outside 1-120 table",IF(ISNA(MATCH($C28,'Flow Curves'!$A$5:$A$11,0)),"INTERPOLATED between curves","Table curve")))))</f>
        <v/>
      </c>
      <c r="W28" s="2" t="str">
        <f aca="false">IF(OR($D28="",$C28=""),"",MATCH(MAX(10,MIN(150,$C28)),'Flow Curves'!$A$5:$A$11,1))</f>
        <v/>
      </c>
      <c r="X28" s="2" t="str">
        <f aca="false">IF($W28="","",MIN($W28+1,7))</f>
        <v/>
      </c>
      <c r="Y28" s="2" t="str">
        <f aca="false">IF($W28="","",INDEX('Flow Curves'!$B$5:$B$11,$W28)*POWER($D28,INDEX('Flow Curves'!$C$5:$C$11,$W28)))</f>
        <v/>
      </c>
      <c r="Z28" s="2" t="str">
        <f aca="false">IF($W28="","",INDEX('Flow Curves'!$B$5:$B$11,$X28)*POWER($D28,INDEX('Flow Curves'!$C$5:$C$11,$X28)))</f>
        <v/>
      </c>
    </row>
    <row r="29" customFormat="false" ht="15" hidden="false" customHeight="false" outlineLevel="0" collapsed="false">
      <c r="A29" s="16" t="n">
        <v>22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8" t="n">
        <f aca="false">IF($O29=0,0,$O29*60*Cost!$D$16*Cost!$D$17*IFERROR(INDEX(Cost!$I$5:$I$11,MATCH($B29,Cost!$H$5:$H$11,0)),0)/Cost!$D$5)</f>
        <v>0</v>
      </c>
      <c r="O29" s="19" t="n">
        <f aca="false">IF($W29="",0,IF(INDEX('Flow Curves'!$A$5:$A$11,$X29)=INDEX('Flow Curves'!$A$5:$A$11,$W29),$Y29,$Y29+($Z29-$Y29)*(MAX(10,MIN(150,$C29))-INDEX('Flow Curves'!$A$5:$A$11,$W29))/(INDEX('Flow Curves'!$A$5:$A$11,$X29)-INDEX('Flow Curves'!$A$5:$A$11,$W29))))</f>
        <v>0</v>
      </c>
      <c r="P29" s="20" t="n">
        <f aca="false">IF(OR($B29="Air",$B29="Open Blow"),$O29*60*Cost!$D$16*Cost!$D$17/Cost!$D$5*Cost!$D$13,0)</f>
        <v>0</v>
      </c>
      <c r="Q29" s="17"/>
      <c r="U29" s="16" t="str">
        <f aca="false">IF($D29="","",IF(ISNA(MATCH($B29,Cost!$H$5:$H$11,0)),"CHECK GAS TYPE",IF(OR($C29&lt;10,$C29&gt;150),"CHECK PRESSURE: outside 10-150 psi table",IF(OR($D29&lt;1,$D29&gt;120),"CHECK dB: outside 1-120 table",IF(ISNA(MATCH($C29,'Flow Curves'!$A$5:$A$11,0)),"INTERPOLATED between curves","Table curve")))))</f>
        <v/>
      </c>
      <c r="W29" s="2" t="str">
        <f aca="false">IF(OR($D29="",$C29=""),"",MATCH(MAX(10,MIN(150,$C29)),'Flow Curves'!$A$5:$A$11,1))</f>
        <v/>
      </c>
      <c r="X29" s="2" t="str">
        <f aca="false">IF($W29="","",MIN($W29+1,7))</f>
        <v/>
      </c>
      <c r="Y29" s="2" t="str">
        <f aca="false">IF($W29="","",INDEX('Flow Curves'!$B$5:$B$11,$W29)*POWER($D29,INDEX('Flow Curves'!$C$5:$C$11,$W29)))</f>
        <v/>
      </c>
      <c r="Z29" s="2" t="str">
        <f aca="false">IF($W29="","",INDEX('Flow Curves'!$B$5:$B$11,$X29)*POWER($D29,INDEX('Flow Curves'!$C$5:$C$11,$X29)))</f>
        <v/>
      </c>
    </row>
    <row r="30" customFormat="false" ht="15" hidden="false" customHeight="false" outlineLevel="0" collapsed="false">
      <c r="A30" s="16" t="n">
        <v>23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8" t="n">
        <f aca="false">IF($O30=0,0,$O30*60*Cost!$D$16*Cost!$D$17*IFERROR(INDEX(Cost!$I$5:$I$11,MATCH($B30,Cost!$H$5:$H$11,0)),0)/Cost!$D$5)</f>
        <v>0</v>
      </c>
      <c r="O30" s="19" t="n">
        <f aca="false">IF($W30="",0,IF(INDEX('Flow Curves'!$A$5:$A$11,$X30)=INDEX('Flow Curves'!$A$5:$A$11,$W30),$Y30,$Y30+($Z30-$Y30)*(MAX(10,MIN(150,$C30))-INDEX('Flow Curves'!$A$5:$A$11,$W30))/(INDEX('Flow Curves'!$A$5:$A$11,$X30)-INDEX('Flow Curves'!$A$5:$A$11,$W30))))</f>
        <v>0</v>
      </c>
      <c r="P30" s="20" t="n">
        <f aca="false">IF(OR($B30="Air",$B30="Open Blow"),$O30*60*Cost!$D$16*Cost!$D$17/Cost!$D$5*Cost!$D$13,0)</f>
        <v>0</v>
      </c>
      <c r="Q30" s="17"/>
      <c r="U30" s="16" t="str">
        <f aca="false">IF($D30="","",IF(ISNA(MATCH($B30,Cost!$H$5:$H$11,0)),"CHECK GAS TYPE",IF(OR($C30&lt;10,$C30&gt;150),"CHECK PRESSURE: outside 10-150 psi table",IF(OR($D30&lt;1,$D30&gt;120),"CHECK dB: outside 1-120 table",IF(ISNA(MATCH($C30,'Flow Curves'!$A$5:$A$11,0)),"INTERPOLATED between curves","Table curve")))))</f>
        <v/>
      </c>
      <c r="W30" s="2" t="str">
        <f aca="false">IF(OR($D30="",$C30=""),"",MATCH(MAX(10,MIN(150,$C30)),'Flow Curves'!$A$5:$A$11,1))</f>
        <v/>
      </c>
      <c r="X30" s="2" t="str">
        <f aca="false">IF($W30="","",MIN($W30+1,7))</f>
        <v/>
      </c>
      <c r="Y30" s="2" t="str">
        <f aca="false">IF($W30="","",INDEX('Flow Curves'!$B$5:$B$11,$W30)*POWER($D30,INDEX('Flow Curves'!$C$5:$C$11,$W30)))</f>
        <v/>
      </c>
      <c r="Z30" s="2" t="str">
        <f aca="false">IF($W30="","",INDEX('Flow Curves'!$B$5:$B$11,$X30)*POWER($D30,INDEX('Flow Curves'!$C$5:$C$11,$X30)))</f>
        <v/>
      </c>
    </row>
    <row r="31" customFormat="false" ht="15" hidden="false" customHeight="false" outlineLevel="0" collapsed="false">
      <c r="A31" s="16" t="n">
        <v>24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8" t="n">
        <f aca="false">IF($O31=0,0,$O31*60*Cost!$D$16*Cost!$D$17*IFERROR(INDEX(Cost!$I$5:$I$11,MATCH($B31,Cost!$H$5:$H$11,0)),0)/Cost!$D$5)</f>
        <v>0</v>
      </c>
      <c r="O31" s="19" t="n">
        <f aca="false">IF($W31="",0,IF(INDEX('Flow Curves'!$A$5:$A$11,$X31)=INDEX('Flow Curves'!$A$5:$A$11,$W31),$Y31,$Y31+($Z31-$Y31)*(MAX(10,MIN(150,$C31))-INDEX('Flow Curves'!$A$5:$A$11,$W31))/(INDEX('Flow Curves'!$A$5:$A$11,$X31)-INDEX('Flow Curves'!$A$5:$A$11,$W31))))</f>
        <v>0</v>
      </c>
      <c r="P31" s="20" t="n">
        <f aca="false">IF(OR($B31="Air",$B31="Open Blow"),$O31*60*Cost!$D$16*Cost!$D$17/Cost!$D$5*Cost!$D$13,0)</f>
        <v>0</v>
      </c>
      <c r="Q31" s="17"/>
      <c r="U31" s="16" t="str">
        <f aca="false">IF($D31="","",IF(ISNA(MATCH($B31,Cost!$H$5:$H$11,0)),"CHECK GAS TYPE",IF(OR($C31&lt;10,$C31&gt;150),"CHECK PRESSURE: outside 10-150 psi table",IF(OR($D31&lt;1,$D31&gt;120),"CHECK dB: outside 1-120 table",IF(ISNA(MATCH($C31,'Flow Curves'!$A$5:$A$11,0)),"INTERPOLATED between curves","Table curve")))))</f>
        <v/>
      </c>
      <c r="W31" s="2" t="str">
        <f aca="false">IF(OR($D31="",$C31=""),"",MATCH(MAX(10,MIN(150,$C31)),'Flow Curves'!$A$5:$A$11,1))</f>
        <v/>
      </c>
      <c r="X31" s="2" t="str">
        <f aca="false">IF($W31="","",MIN($W31+1,7))</f>
        <v/>
      </c>
      <c r="Y31" s="2" t="str">
        <f aca="false">IF($W31="","",INDEX('Flow Curves'!$B$5:$B$11,$W31)*POWER($D31,INDEX('Flow Curves'!$C$5:$C$11,$W31)))</f>
        <v/>
      </c>
      <c r="Z31" s="2" t="str">
        <f aca="false">IF($W31="","",INDEX('Flow Curves'!$B$5:$B$11,$X31)*POWER($D31,INDEX('Flow Curves'!$C$5:$C$11,$X31)))</f>
        <v/>
      </c>
    </row>
    <row r="32" customFormat="false" ht="15" hidden="false" customHeight="false" outlineLevel="0" collapsed="false">
      <c r="A32" s="16" t="n">
        <v>25</v>
      </c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8" t="n">
        <f aca="false">IF($O32=0,0,$O32*60*Cost!$D$16*Cost!$D$17*IFERROR(INDEX(Cost!$I$5:$I$11,MATCH($B32,Cost!$H$5:$H$11,0)),0)/Cost!$D$5)</f>
        <v>0</v>
      </c>
      <c r="O32" s="19" t="n">
        <f aca="false">IF($W32="",0,IF(INDEX('Flow Curves'!$A$5:$A$11,$X32)=INDEX('Flow Curves'!$A$5:$A$11,$W32),$Y32,$Y32+($Z32-$Y32)*(MAX(10,MIN(150,$C32))-INDEX('Flow Curves'!$A$5:$A$11,$W32))/(INDEX('Flow Curves'!$A$5:$A$11,$X32)-INDEX('Flow Curves'!$A$5:$A$11,$W32))))</f>
        <v>0</v>
      </c>
      <c r="P32" s="20" t="n">
        <f aca="false">IF(OR($B32="Air",$B32="Open Blow"),$O32*60*Cost!$D$16*Cost!$D$17/Cost!$D$5*Cost!$D$13,0)</f>
        <v>0</v>
      </c>
      <c r="Q32" s="17"/>
      <c r="U32" s="16" t="str">
        <f aca="false">IF($D32="","",IF(ISNA(MATCH($B32,Cost!$H$5:$H$11,0)),"CHECK GAS TYPE",IF(OR($C32&lt;10,$C32&gt;150),"CHECK PRESSURE: outside 10-150 psi table",IF(OR($D32&lt;1,$D32&gt;120),"CHECK dB: outside 1-120 table",IF(ISNA(MATCH($C32,'Flow Curves'!$A$5:$A$11,0)),"INTERPOLATED between curves","Table curve")))))</f>
        <v/>
      </c>
      <c r="W32" s="2" t="str">
        <f aca="false">IF(OR($D32="",$C32=""),"",MATCH(MAX(10,MIN(150,$C32)),'Flow Curves'!$A$5:$A$11,1))</f>
        <v/>
      </c>
      <c r="X32" s="2" t="str">
        <f aca="false">IF($W32="","",MIN($W32+1,7))</f>
        <v/>
      </c>
      <c r="Y32" s="2" t="str">
        <f aca="false">IF($W32="","",INDEX('Flow Curves'!$B$5:$B$11,$W32)*POWER($D32,INDEX('Flow Curves'!$C$5:$C$11,$W32)))</f>
        <v/>
      </c>
      <c r="Z32" s="2" t="str">
        <f aca="false">IF($W32="","",INDEX('Flow Curves'!$B$5:$B$11,$X32)*POWER($D32,INDEX('Flow Curves'!$C$5:$C$11,$X32)))</f>
        <v/>
      </c>
    </row>
    <row r="33" customFormat="false" ht="15" hidden="false" customHeight="false" outlineLevel="0" collapsed="false">
      <c r="A33" s="16" t="n">
        <v>26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8" t="n">
        <f aca="false">IF($O33=0,0,$O33*60*Cost!$D$16*Cost!$D$17*IFERROR(INDEX(Cost!$I$5:$I$11,MATCH($B33,Cost!$H$5:$H$11,0)),0)/Cost!$D$5)</f>
        <v>0</v>
      </c>
      <c r="O33" s="19" t="n">
        <f aca="false">IF($W33="",0,IF(INDEX('Flow Curves'!$A$5:$A$11,$X33)=INDEX('Flow Curves'!$A$5:$A$11,$W33),$Y33,$Y33+($Z33-$Y33)*(MAX(10,MIN(150,$C33))-INDEX('Flow Curves'!$A$5:$A$11,$W33))/(INDEX('Flow Curves'!$A$5:$A$11,$X33)-INDEX('Flow Curves'!$A$5:$A$11,$W33))))</f>
        <v>0</v>
      </c>
      <c r="P33" s="20" t="n">
        <f aca="false">IF(OR($B33="Air",$B33="Open Blow"),$O33*60*Cost!$D$16*Cost!$D$17/Cost!$D$5*Cost!$D$13,0)</f>
        <v>0</v>
      </c>
      <c r="Q33" s="17"/>
      <c r="U33" s="16" t="str">
        <f aca="false">IF($D33="","",IF(ISNA(MATCH($B33,Cost!$H$5:$H$11,0)),"CHECK GAS TYPE",IF(OR($C33&lt;10,$C33&gt;150),"CHECK PRESSURE: outside 10-150 psi table",IF(OR($D33&lt;1,$D33&gt;120),"CHECK dB: outside 1-120 table",IF(ISNA(MATCH($C33,'Flow Curves'!$A$5:$A$11,0)),"INTERPOLATED between curves","Table curve")))))</f>
        <v/>
      </c>
      <c r="W33" s="2" t="str">
        <f aca="false">IF(OR($D33="",$C33=""),"",MATCH(MAX(10,MIN(150,$C33)),'Flow Curves'!$A$5:$A$11,1))</f>
        <v/>
      </c>
      <c r="X33" s="2" t="str">
        <f aca="false">IF($W33="","",MIN($W33+1,7))</f>
        <v/>
      </c>
      <c r="Y33" s="2" t="str">
        <f aca="false">IF($W33="","",INDEX('Flow Curves'!$B$5:$B$11,$W33)*POWER($D33,INDEX('Flow Curves'!$C$5:$C$11,$W33)))</f>
        <v/>
      </c>
      <c r="Z33" s="2" t="str">
        <f aca="false">IF($W33="","",INDEX('Flow Curves'!$B$5:$B$11,$X33)*POWER($D33,INDEX('Flow Curves'!$C$5:$C$11,$X33)))</f>
        <v/>
      </c>
    </row>
    <row r="34" customFormat="false" ht="15" hidden="false" customHeight="false" outlineLevel="0" collapsed="false">
      <c r="A34" s="16" t="n">
        <v>27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8" t="n">
        <f aca="false">IF($O34=0,0,$O34*60*Cost!$D$16*Cost!$D$17*IFERROR(INDEX(Cost!$I$5:$I$11,MATCH($B34,Cost!$H$5:$H$11,0)),0)/Cost!$D$5)</f>
        <v>0</v>
      </c>
      <c r="O34" s="19" t="n">
        <f aca="false">IF($W34="",0,IF(INDEX('Flow Curves'!$A$5:$A$11,$X34)=INDEX('Flow Curves'!$A$5:$A$11,$W34),$Y34,$Y34+($Z34-$Y34)*(MAX(10,MIN(150,$C34))-INDEX('Flow Curves'!$A$5:$A$11,$W34))/(INDEX('Flow Curves'!$A$5:$A$11,$X34)-INDEX('Flow Curves'!$A$5:$A$11,$W34))))</f>
        <v>0</v>
      </c>
      <c r="P34" s="20" t="n">
        <f aca="false">IF(OR($B34="Air",$B34="Open Blow"),$O34*60*Cost!$D$16*Cost!$D$17/Cost!$D$5*Cost!$D$13,0)</f>
        <v>0</v>
      </c>
      <c r="Q34" s="17"/>
      <c r="U34" s="16" t="str">
        <f aca="false">IF($D34="","",IF(ISNA(MATCH($B34,Cost!$H$5:$H$11,0)),"CHECK GAS TYPE",IF(OR($C34&lt;10,$C34&gt;150),"CHECK PRESSURE: outside 10-150 psi table",IF(OR($D34&lt;1,$D34&gt;120),"CHECK dB: outside 1-120 table",IF(ISNA(MATCH($C34,'Flow Curves'!$A$5:$A$11,0)),"INTERPOLATED between curves","Table curve")))))</f>
        <v/>
      </c>
      <c r="W34" s="2" t="str">
        <f aca="false">IF(OR($D34="",$C34=""),"",MATCH(MAX(10,MIN(150,$C34)),'Flow Curves'!$A$5:$A$11,1))</f>
        <v/>
      </c>
      <c r="X34" s="2" t="str">
        <f aca="false">IF($W34="","",MIN($W34+1,7))</f>
        <v/>
      </c>
      <c r="Y34" s="2" t="str">
        <f aca="false">IF($W34="","",INDEX('Flow Curves'!$B$5:$B$11,$W34)*POWER($D34,INDEX('Flow Curves'!$C$5:$C$11,$W34)))</f>
        <v/>
      </c>
      <c r="Z34" s="2" t="str">
        <f aca="false">IF($W34="","",INDEX('Flow Curves'!$B$5:$B$11,$X34)*POWER($D34,INDEX('Flow Curves'!$C$5:$C$11,$X34)))</f>
        <v/>
      </c>
    </row>
    <row r="35" customFormat="false" ht="15" hidden="false" customHeight="false" outlineLevel="0" collapsed="false">
      <c r="A35" s="16" t="n">
        <v>28</v>
      </c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8" t="n">
        <f aca="false">IF($O35=0,0,$O35*60*Cost!$D$16*Cost!$D$17*IFERROR(INDEX(Cost!$I$5:$I$11,MATCH($B35,Cost!$H$5:$H$11,0)),0)/Cost!$D$5)</f>
        <v>0</v>
      </c>
      <c r="O35" s="19" t="n">
        <f aca="false">IF($W35="",0,IF(INDEX('Flow Curves'!$A$5:$A$11,$X35)=INDEX('Flow Curves'!$A$5:$A$11,$W35),$Y35,$Y35+($Z35-$Y35)*(MAX(10,MIN(150,$C35))-INDEX('Flow Curves'!$A$5:$A$11,$W35))/(INDEX('Flow Curves'!$A$5:$A$11,$X35)-INDEX('Flow Curves'!$A$5:$A$11,$W35))))</f>
        <v>0</v>
      </c>
      <c r="P35" s="20" t="n">
        <f aca="false">IF(OR($B35="Air",$B35="Open Blow"),$O35*60*Cost!$D$16*Cost!$D$17/Cost!$D$5*Cost!$D$13,0)</f>
        <v>0</v>
      </c>
      <c r="Q35" s="17"/>
      <c r="U35" s="16" t="str">
        <f aca="false">IF($D35="","",IF(ISNA(MATCH($B35,Cost!$H$5:$H$11,0)),"CHECK GAS TYPE",IF(OR($C35&lt;10,$C35&gt;150),"CHECK PRESSURE: outside 10-150 psi table",IF(OR($D35&lt;1,$D35&gt;120),"CHECK dB: outside 1-120 table",IF(ISNA(MATCH($C35,'Flow Curves'!$A$5:$A$11,0)),"INTERPOLATED between curves","Table curve")))))</f>
        <v/>
      </c>
      <c r="W35" s="2" t="str">
        <f aca="false">IF(OR($D35="",$C35=""),"",MATCH(MAX(10,MIN(150,$C35)),'Flow Curves'!$A$5:$A$11,1))</f>
        <v/>
      </c>
      <c r="X35" s="2" t="str">
        <f aca="false">IF($W35="","",MIN($W35+1,7))</f>
        <v/>
      </c>
      <c r="Y35" s="2" t="str">
        <f aca="false">IF($W35="","",INDEX('Flow Curves'!$B$5:$B$11,$W35)*POWER($D35,INDEX('Flow Curves'!$C$5:$C$11,$W35)))</f>
        <v/>
      </c>
      <c r="Z35" s="2" t="str">
        <f aca="false">IF($W35="","",INDEX('Flow Curves'!$B$5:$B$11,$X35)*POWER($D35,INDEX('Flow Curves'!$C$5:$C$11,$X35)))</f>
        <v/>
      </c>
    </row>
    <row r="36" customFormat="false" ht="15" hidden="false" customHeight="false" outlineLevel="0" collapsed="false">
      <c r="A36" s="16" t="n">
        <v>29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8" t="n">
        <f aca="false">IF($O36=0,0,$O36*60*Cost!$D$16*Cost!$D$17*IFERROR(INDEX(Cost!$I$5:$I$11,MATCH($B36,Cost!$H$5:$H$11,0)),0)/Cost!$D$5)</f>
        <v>0</v>
      </c>
      <c r="O36" s="19" t="n">
        <f aca="false">IF($W36="",0,IF(INDEX('Flow Curves'!$A$5:$A$11,$X36)=INDEX('Flow Curves'!$A$5:$A$11,$W36),$Y36,$Y36+($Z36-$Y36)*(MAX(10,MIN(150,$C36))-INDEX('Flow Curves'!$A$5:$A$11,$W36))/(INDEX('Flow Curves'!$A$5:$A$11,$X36)-INDEX('Flow Curves'!$A$5:$A$11,$W36))))</f>
        <v>0</v>
      </c>
      <c r="P36" s="20" t="n">
        <f aca="false">IF(OR($B36="Air",$B36="Open Blow"),$O36*60*Cost!$D$16*Cost!$D$17/Cost!$D$5*Cost!$D$13,0)</f>
        <v>0</v>
      </c>
      <c r="Q36" s="17"/>
      <c r="U36" s="16" t="str">
        <f aca="false">IF($D36="","",IF(ISNA(MATCH($B36,Cost!$H$5:$H$11,0)),"CHECK GAS TYPE",IF(OR($C36&lt;10,$C36&gt;150),"CHECK PRESSURE: outside 10-150 psi table",IF(OR($D36&lt;1,$D36&gt;120),"CHECK dB: outside 1-120 table",IF(ISNA(MATCH($C36,'Flow Curves'!$A$5:$A$11,0)),"INTERPOLATED between curves","Table curve")))))</f>
        <v/>
      </c>
      <c r="W36" s="2" t="str">
        <f aca="false">IF(OR($D36="",$C36=""),"",MATCH(MAX(10,MIN(150,$C36)),'Flow Curves'!$A$5:$A$11,1))</f>
        <v/>
      </c>
      <c r="X36" s="2" t="str">
        <f aca="false">IF($W36="","",MIN($W36+1,7))</f>
        <v/>
      </c>
      <c r="Y36" s="2" t="str">
        <f aca="false">IF($W36="","",INDEX('Flow Curves'!$B$5:$B$11,$W36)*POWER($D36,INDEX('Flow Curves'!$C$5:$C$11,$W36)))</f>
        <v/>
      </c>
      <c r="Z36" s="2" t="str">
        <f aca="false">IF($W36="","",INDEX('Flow Curves'!$B$5:$B$11,$X36)*POWER($D36,INDEX('Flow Curves'!$C$5:$C$11,$X36)))</f>
        <v/>
      </c>
    </row>
    <row r="37" customFormat="false" ht="15" hidden="false" customHeight="false" outlineLevel="0" collapsed="false">
      <c r="A37" s="16" t="n">
        <v>30</v>
      </c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8" t="n">
        <f aca="false">IF($O37=0,0,$O37*60*Cost!$D$16*Cost!$D$17*IFERROR(INDEX(Cost!$I$5:$I$11,MATCH($B37,Cost!$H$5:$H$11,0)),0)/Cost!$D$5)</f>
        <v>0</v>
      </c>
      <c r="O37" s="19" t="n">
        <f aca="false">IF($W37="",0,IF(INDEX('Flow Curves'!$A$5:$A$11,$X37)=INDEX('Flow Curves'!$A$5:$A$11,$W37),$Y37,$Y37+($Z37-$Y37)*(MAX(10,MIN(150,$C37))-INDEX('Flow Curves'!$A$5:$A$11,$W37))/(INDEX('Flow Curves'!$A$5:$A$11,$X37)-INDEX('Flow Curves'!$A$5:$A$11,$W37))))</f>
        <v>0</v>
      </c>
      <c r="P37" s="20" t="n">
        <f aca="false">IF(OR($B37="Air",$B37="Open Blow"),$O37*60*Cost!$D$16*Cost!$D$17/Cost!$D$5*Cost!$D$13,0)</f>
        <v>0</v>
      </c>
      <c r="Q37" s="17"/>
      <c r="U37" s="16" t="str">
        <f aca="false">IF($D37="","",IF(ISNA(MATCH($B37,Cost!$H$5:$H$11,0)),"CHECK GAS TYPE",IF(OR($C37&lt;10,$C37&gt;150),"CHECK PRESSURE: outside 10-150 psi table",IF(OR($D37&lt;1,$D37&gt;120),"CHECK dB: outside 1-120 table",IF(ISNA(MATCH($C37,'Flow Curves'!$A$5:$A$11,0)),"INTERPOLATED between curves","Table curve")))))</f>
        <v/>
      </c>
      <c r="W37" s="2" t="str">
        <f aca="false">IF(OR($D37="",$C37=""),"",MATCH(MAX(10,MIN(150,$C37)),'Flow Curves'!$A$5:$A$11,1))</f>
        <v/>
      </c>
      <c r="X37" s="2" t="str">
        <f aca="false">IF($W37="","",MIN($W37+1,7))</f>
        <v/>
      </c>
      <c r="Y37" s="2" t="str">
        <f aca="false">IF($W37="","",INDEX('Flow Curves'!$B$5:$B$11,$W37)*POWER($D37,INDEX('Flow Curves'!$C$5:$C$11,$W37)))</f>
        <v/>
      </c>
      <c r="Z37" s="2" t="str">
        <f aca="false">IF($W37="","",INDEX('Flow Curves'!$B$5:$B$11,$X37)*POWER($D37,INDEX('Flow Curves'!$C$5:$C$11,$X37)))</f>
        <v/>
      </c>
    </row>
    <row r="38" customFormat="false" ht="15" hidden="false" customHeight="false" outlineLevel="0" collapsed="false">
      <c r="A38" s="16" t="n">
        <v>31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8" t="n">
        <f aca="false">IF($O38=0,0,$O38*60*Cost!$D$16*Cost!$D$17*IFERROR(INDEX(Cost!$I$5:$I$11,MATCH($B38,Cost!$H$5:$H$11,0)),0)/Cost!$D$5)</f>
        <v>0</v>
      </c>
      <c r="O38" s="19" t="n">
        <f aca="false">IF($W38="",0,IF(INDEX('Flow Curves'!$A$5:$A$11,$X38)=INDEX('Flow Curves'!$A$5:$A$11,$W38),$Y38,$Y38+($Z38-$Y38)*(MAX(10,MIN(150,$C38))-INDEX('Flow Curves'!$A$5:$A$11,$W38))/(INDEX('Flow Curves'!$A$5:$A$11,$X38)-INDEX('Flow Curves'!$A$5:$A$11,$W38))))</f>
        <v>0</v>
      </c>
      <c r="P38" s="20" t="n">
        <f aca="false">IF(OR($B38="Air",$B38="Open Blow"),$O38*60*Cost!$D$16*Cost!$D$17/Cost!$D$5*Cost!$D$13,0)</f>
        <v>0</v>
      </c>
      <c r="Q38" s="17"/>
      <c r="U38" s="16" t="str">
        <f aca="false">IF($D38="","",IF(ISNA(MATCH($B38,Cost!$H$5:$H$11,0)),"CHECK GAS TYPE",IF(OR($C38&lt;10,$C38&gt;150),"CHECK PRESSURE: outside 10-150 psi table",IF(OR($D38&lt;1,$D38&gt;120),"CHECK dB: outside 1-120 table",IF(ISNA(MATCH($C38,'Flow Curves'!$A$5:$A$11,0)),"INTERPOLATED between curves","Table curve")))))</f>
        <v/>
      </c>
      <c r="W38" s="2" t="str">
        <f aca="false">IF(OR($D38="",$C38=""),"",MATCH(MAX(10,MIN(150,$C38)),'Flow Curves'!$A$5:$A$11,1))</f>
        <v/>
      </c>
      <c r="X38" s="2" t="str">
        <f aca="false">IF($W38="","",MIN($W38+1,7))</f>
        <v/>
      </c>
      <c r="Y38" s="2" t="str">
        <f aca="false">IF($W38="","",INDEX('Flow Curves'!$B$5:$B$11,$W38)*POWER($D38,INDEX('Flow Curves'!$C$5:$C$11,$W38)))</f>
        <v/>
      </c>
      <c r="Z38" s="2" t="str">
        <f aca="false">IF($W38="","",INDEX('Flow Curves'!$B$5:$B$11,$X38)*POWER($D38,INDEX('Flow Curves'!$C$5:$C$11,$X38)))</f>
        <v/>
      </c>
    </row>
    <row r="39" customFormat="false" ht="15" hidden="false" customHeight="false" outlineLevel="0" collapsed="false">
      <c r="A39" s="16" t="n">
        <v>32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8" t="n">
        <f aca="false">IF($O39=0,0,$O39*60*Cost!$D$16*Cost!$D$17*IFERROR(INDEX(Cost!$I$5:$I$11,MATCH($B39,Cost!$H$5:$H$11,0)),0)/Cost!$D$5)</f>
        <v>0</v>
      </c>
      <c r="O39" s="19" t="n">
        <f aca="false">IF($W39="",0,IF(INDEX('Flow Curves'!$A$5:$A$11,$X39)=INDEX('Flow Curves'!$A$5:$A$11,$W39),$Y39,$Y39+($Z39-$Y39)*(MAX(10,MIN(150,$C39))-INDEX('Flow Curves'!$A$5:$A$11,$W39))/(INDEX('Flow Curves'!$A$5:$A$11,$X39)-INDEX('Flow Curves'!$A$5:$A$11,$W39))))</f>
        <v>0</v>
      </c>
      <c r="P39" s="20" t="n">
        <f aca="false">IF(OR($B39="Air",$B39="Open Blow"),$O39*60*Cost!$D$16*Cost!$D$17/Cost!$D$5*Cost!$D$13,0)</f>
        <v>0</v>
      </c>
      <c r="Q39" s="17"/>
      <c r="U39" s="16" t="str">
        <f aca="false">IF($D39="","",IF(ISNA(MATCH($B39,Cost!$H$5:$H$11,0)),"CHECK GAS TYPE",IF(OR($C39&lt;10,$C39&gt;150),"CHECK PRESSURE: outside 10-150 psi table",IF(OR($D39&lt;1,$D39&gt;120),"CHECK dB: outside 1-120 table",IF(ISNA(MATCH($C39,'Flow Curves'!$A$5:$A$11,0)),"INTERPOLATED between curves","Table curve")))))</f>
        <v/>
      </c>
      <c r="W39" s="2" t="str">
        <f aca="false">IF(OR($D39="",$C39=""),"",MATCH(MAX(10,MIN(150,$C39)),'Flow Curves'!$A$5:$A$11,1))</f>
        <v/>
      </c>
      <c r="X39" s="2" t="str">
        <f aca="false">IF($W39="","",MIN($W39+1,7))</f>
        <v/>
      </c>
      <c r="Y39" s="2" t="str">
        <f aca="false">IF($W39="","",INDEX('Flow Curves'!$B$5:$B$11,$W39)*POWER($D39,INDEX('Flow Curves'!$C$5:$C$11,$W39)))</f>
        <v/>
      </c>
      <c r="Z39" s="2" t="str">
        <f aca="false">IF($W39="","",INDEX('Flow Curves'!$B$5:$B$11,$X39)*POWER($D39,INDEX('Flow Curves'!$C$5:$C$11,$X39)))</f>
        <v/>
      </c>
    </row>
    <row r="40" customFormat="false" ht="15" hidden="false" customHeight="false" outlineLevel="0" collapsed="false">
      <c r="A40" s="16" t="n">
        <v>33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8" t="n">
        <f aca="false">IF($O40=0,0,$O40*60*Cost!$D$16*Cost!$D$17*IFERROR(INDEX(Cost!$I$5:$I$11,MATCH($B40,Cost!$H$5:$H$11,0)),0)/Cost!$D$5)</f>
        <v>0</v>
      </c>
      <c r="O40" s="19" t="n">
        <f aca="false">IF($W40="",0,IF(INDEX('Flow Curves'!$A$5:$A$11,$X40)=INDEX('Flow Curves'!$A$5:$A$11,$W40),$Y40,$Y40+($Z40-$Y40)*(MAX(10,MIN(150,$C40))-INDEX('Flow Curves'!$A$5:$A$11,$W40))/(INDEX('Flow Curves'!$A$5:$A$11,$X40)-INDEX('Flow Curves'!$A$5:$A$11,$W40))))</f>
        <v>0</v>
      </c>
      <c r="P40" s="20" t="n">
        <f aca="false">IF(OR($B40="Air",$B40="Open Blow"),$O40*60*Cost!$D$16*Cost!$D$17/Cost!$D$5*Cost!$D$13,0)</f>
        <v>0</v>
      </c>
      <c r="Q40" s="17"/>
      <c r="U40" s="16" t="str">
        <f aca="false">IF($D40="","",IF(ISNA(MATCH($B40,Cost!$H$5:$H$11,0)),"CHECK GAS TYPE",IF(OR($C40&lt;10,$C40&gt;150),"CHECK PRESSURE: outside 10-150 psi table",IF(OR($D40&lt;1,$D40&gt;120),"CHECK dB: outside 1-120 table",IF(ISNA(MATCH($C40,'Flow Curves'!$A$5:$A$11,0)),"INTERPOLATED between curves","Table curve")))))</f>
        <v/>
      </c>
      <c r="W40" s="2" t="str">
        <f aca="false">IF(OR($D40="",$C40=""),"",MATCH(MAX(10,MIN(150,$C40)),'Flow Curves'!$A$5:$A$11,1))</f>
        <v/>
      </c>
      <c r="X40" s="2" t="str">
        <f aca="false">IF($W40="","",MIN($W40+1,7))</f>
        <v/>
      </c>
      <c r="Y40" s="2" t="str">
        <f aca="false">IF($W40="","",INDEX('Flow Curves'!$B$5:$B$11,$W40)*POWER($D40,INDEX('Flow Curves'!$C$5:$C$11,$W40)))</f>
        <v/>
      </c>
      <c r="Z40" s="2" t="str">
        <f aca="false">IF($W40="","",INDEX('Flow Curves'!$B$5:$B$11,$X40)*POWER($D40,INDEX('Flow Curves'!$C$5:$C$11,$X40)))</f>
        <v/>
      </c>
    </row>
    <row r="41" customFormat="false" ht="15" hidden="false" customHeight="false" outlineLevel="0" collapsed="false">
      <c r="A41" s="16" t="n">
        <v>34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8" t="n">
        <f aca="false">IF($O41=0,0,$O41*60*Cost!$D$16*Cost!$D$17*IFERROR(INDEX(Cost!$I$5:$I$11,MATCH($B41,Cost!$H$5:$H$11,0)),0)/Cost!$D$5)</f>
        <v>0</v>
      </c>
      <c r="O41" s="19" t="n">
        <f aca="false">IF($W41="",0,IF(INDEX('Flow Curves'!$A$5:$A$11,$X41)=INDEX('Flow Curves'!$A$5:$A$11,$W41),$Y41,$Y41+($Z41-$Y41)*(MAX(10,MIN(150,$C41))-INDEX('Flow Curves'!$A$5:$A$11,$W41))/(INDEX('Flow Curves'!$A$5:$A$11,$X41)-INDEX('Flow Curves'!$A$5:$A$11,$W41))))</f>
        <v>0</v>
      </c>
      <c r="P41" s="20" t="n">
        <f aca="false">IF(OR($B41="Air",$B41="Open Blow"),$O41*60*Cost!$D$16*Cost!$D$17/Cost!$D$5*Cost!$D$13,0)</f>
        <v>0</v>
      </c>
      <c r="Q41" s="17"/>
      <c r="U41" s="16" t="str">
        <f aca="false">IF($D41="","",IF(ISNA(MATCH($B41,Cost!$H$5:$H$11,0)),"CHECK GAS TYPE",IF(OR($C41&lt;10,$C41&gt;150),"CHECK PRESSURE: outside 10-150 psi table",IF(OR($D41&lt;1,$D41&gt;120),"CHECK dB: outside 1-120 table",IF(ISNA(MATCH($C41,'Flow Curves'!$A$5:$A$11,0)),"INTERPOLATED between curves","Table curve")))))</f>
        <v/>
      </c>
      <c r="W41" s="2" t="str">
        <f aca="false">IF(OR($D41="",$C41=""),"",MATCH(MAX(10,MIN(150,$C41)),'Flow Curves'!$A$5:$A$11,1))</f>
        <v/>
      </c>
      <c r="X41" s="2" t="str">
        <f aca="false">IF($W41="","",MIN($W41+1,7))</f>
        <v/>
      </c>
      <c r="Y41" s="2" t="str">
        <f aca="false">IF($W41="","",INDEX('Flow Curves'!$B$5:$B$11,$W41)*POWER($D41,INDEX('Flow Curves'!$C$5:$C$11,$W41)))</f>
        <v/>
      </c>
      <c r="Z41" s="2" t="str">
        <f aca="false">IF($W41="","",INDEX('Flow Curves'!$B$5:$B$11,$X41)*POWER($D41,INDEX('Flow Curves'!$C$5:$C$11,$X41)))</f>
        <v/>
      </c>
    </row>
    <row r="42" customFormat="false" ht="15" hidden="false" customHeight="false" outlineLevel="0" collapsed="false">
      <c r="A42" s="16" t="n">
        <v>35</v>
      </c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8" t="n">
        <f aca="false">IF($O42=0,0,$O42*60*Cost!$D$16*Cost!$D$17*IFERROR(INDEX(Cost!$I$5:$I$11,MATCH($B42,Cost!$H$5:$H$11,0)),0)/Cost!$D$5)</f>
        <v>0</v>
      </c>
      <c r="O42" s="19" t="n">
        <f aca="false">IF($W42="",0,IF(INDEX('Flow Curves'!$A$5:$A$11,$X42)=INDEX('Flow Curves'!$A$5:$A$11,$W42),$Y42,$Y42+($Z42-$Y42)*(MAX(10,MIN(150,$C42))-INDEX('Flow Curves'!$A$5:$A$11,$W42))/(INDEX('Flow Curves'!$A$5:$A$11,$X42)-INDEX('Flow Curves'!$A$5:$A$11,$W42))))</f>
        <v>0</v>
      </c>
      <c r="P42" s="20" t="n">
        <f aca="false">IF(OR($B42="Air",$B42="Open Blow"),$O42*60*Cost!$D$16*Cost!$D$17/Cost!$D$5*Cost!$D$13,0)</f>
        <v>0</v>
      </c>
      <c r="Q42" s="17"/>
      <c r="U42" s="16" t="str">
        <f aca="false">IF($D42="","",IF(ISNA(MATCH($B42,Cost!$H$5:$H$11,0)),"CHECK GAS TYPE",IF(OR($C42&lt;10,$C42&gt;150),"CHECK PRESSURE: outside 10-150 psi table",IF(OR($D42&lt;1,$D42&gt;120),"CHECK dB: outside 1-120 table",IF(ISNA(MATCH($C42,'Flow Curves'!$A$5:$A$11,0)),"INTERPOLATED between curves","Table curve")))))</f>
        <v/>
      </c>
      <c r="W42" s="2" t="str">
        <f aca="false">IF(OR($D42="",$C42=""),"",MATCH(MAX(10,MIN(150,$C42)),'Flow Curves'!$A$5:$A$11,1))</f>
        <v/>
      </c>
      <c r="X42" s="2" t="str">
        <f aca="false">IF($W42="","",MIN($W42+1,7))</f>
        <v/>
      </c>
      <c r="Y42" s="2" t="str">
        <f aca="false">IF($W42="","",INDEX('Flow Curves'!$B$5:$B$11,$W42)*POWER($D42,INDEX('Flow Curves'!$C$5:$C$11,$W42)))</f>
        <v/>
      </c>
      <c r="Z42" s="2" t="str">
        <f aca="false">IF($W42="","",INDEX('Flow Curves'!$B$5:$B$11,$X42)*POWER($D42,INDEX('Flow Curves'!$C$5:$C$11,$X42)))</f>
        <v/>
      </c>
    </row>
    <row r="43" customFormat="false" ht="15" hidden="false" customHeight="false" outlineLevel="0" collapsed="false">
      <c r="A43" s="16" t="n">
        <v>36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8" t="n">
        <f aca="false">IF($O43=0,0,$O43*60*Cost!$D$16*Cost!$D$17*IFERROR(INDEX(Cost!$I$5:$I$11,MATCH($B43,Cost!$H$5:$H$11,0)),0)/Cost!$D$5)</f>
        <v>0</v>
      </c>
      <c r="O43" s="19" t="n">
        <f aca="false">IF($W43="",0,IF(INDEX('Flow Curves'!$A$5:$A$11,$X43)=INDEX('Flow Curves'!$A$5:$A$11,$W43),$Y43,$Y43+($Z43-$Y43)*(MAX(10,MIN(150,$C43))-INDEX('Flow Curves'!$A$5:$A$11,$W43))/(INDEX('Flow Curves'!$A$5:$A$11,$X43)-INDEX('Flow Curves'!$A$5:$A$11,$W43))))</f>
        <v>0</v>
      </c>
      <c r="P43" s="20" t="n">
        <f aca="false">IF(OR($B43="Air",$B43="Open Blow"),$O43*60*Cost!$D$16*Cost!$D$17/Cost!$D$5*Cost!$D$13,0)</f>
        <v>0</v>
      </c>
      <c r="Q43" s="17"/>
      <c r="U43" s="16" t="str">
        <f aca="false">IF($D43="","",IF(ISNA(MATCH($B43,Cost!$H$5:$H$11,0)),"CHECK GAS TYPE",IF(OR($C43&lt;10,$C43&gt;150),"CHECK PRESSURE: outside 10-150 psi table",IF(OR($D43&lt;1,$D43&gt;120),"CHECK dB: outside 1-120 table",IF(ISNA(MATCH($C43,'Flow Curves'!$A$5:$A$11,0)),"INTERPOLATED between curves","Table curve")))))</f>
        <v/>
      </c>
      <c r="W43" s="2" t="str">
        <f aca="false">IF(OR($D43="",$C43=""),"",MATCH(MAX(10,MIN(150,$C43)),'Flow Curves'!$A$5:$A$11,1))</f>
        <v/>
      </c>
      <c r="X43" s="2" t="str">
        <f aca="false">IF($W43="","",MIN($W43+1,7))</f>
        <v/>
      </c>
      <c r="Y43" s="2" t="str">
        <f aca="false">IF($W43="","",INDEX('Flow Curves'!$B$5:$B$11,$W43)*POWER($D43,INDEX('Flow Curves'!$C$5:$C$11,$W43)))</f>
        <v/>
      </c>
      <c r="Z43" s="2" t="str">
        <f aca="false">IF($W43="","",INDEX('Flow Curves'!$B$5:$B$11,$X43)*POWER($D43,INDEX('Flow Curves'!$C$5:$C$11,$X43)))</f>
        <v/>
      </c>
    </row>
    <row r="44" customFormat="false" ht="15" hidden="false" customHeight="false" outlineLevel="0" collapsed="false">
      <c r="A44" s="16" t="n">
        <v>37</v>
      </c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8" t="n">
        <f aca="false">IF($O44=0,0,$O44*60*Cost!$D$16*Cost!$D$17*IFERROR(INDEX(Cost!$I$5:$I$11,MATCH($B44,Cost!$H$5:$H$11,0)),0)/Cost!$D$5)</f>
        <v>0</v>
      </c>
      <c r="O44" s="19" t="n">
        <f aca="false">IF($W44="",0,IF(INDEX('Flow Curves'!$A$5:$A$11,$X44)=INDEX('Flow Curves'!$A$5:$A$11,$W44),$Y44,$Y44+($Z44-$Y44)*(MAX(10,MIN(150,$C44))-INDEX('Flow Curves'!$A$5:$A$11,$W44))/(INDEX('Flow Curves'!$A$5:$A$11,$X44)-INDEX('Flow Curves'!$A$5:$A$11,$W44))))</f>
        <v>0</v>
      </c>
      <c r="P44" s="20" t="n">
        <f aca="false">IF(OR($B44="Air",$B44="Open Blow"),$O44*60*Cost!$D$16*Cost!$D$17/Cost!$D$5*Cost!$D$13,0)</f>
        <v>0</v>
      </c>
      <c r="Q44" s="17"/>
      <c r="U44" s="16" t="str">
        <f aca="false">IF($D44="","",IF(ISNA(MATCH($B44,Cost!$H$5:$H$11,0)),"CHECK GAS TYPE",IF(OR($C44&lt;10,$C44&gt;150),"CHECK PRESSURE: outside 10-150 psi table",IF(OR($D44&lt;1,$D44&gt;120),"CHECK dB: outside 1-120 table",IF(ISNA(MATCH($C44,'Flow Curves'!$A$5:$A$11,0)),"INTERPOLATED between curves","Table curve")))))</f>
        <v/>
      </c>
      <c r="W44" s="2" t="str">
        <f aca="false">IF(OR($D44="",$C44=""),"",MATCH(MAX(10,MIN(150,$C44)),'Flow Curves'!$A$5:$A$11,1))</f>
        <v/>
      </c>
      <c r="X44" s="2" t="str">
        <f aca="false">IF($W44="","",MIN($W44+1,7))</f>
        <v/>
      </c>
      <c r="Y44" s="2" t="str">
        <f aca="false">IF($W44="","",INDEX('Flow Curves'!$B$5:$B$11,$W44)*POWER($D44,INDEX('Flow Curves'!$C$5:$C$11,$W44)))</f>
        <v/>
      </c>
      <c r="Z44" s="2" t="str">
        <f aca="false">IF($W44="","",INDEX('Flow Curves'!$B$5:$B$11,$X44)*POWER($D44,INDEX('Flow Curves'!$C$5:$C$11,$X44)))</f>
        <v/>
      </c>
    </row>
    <row r="45" customFormat="false" ht="15" hidden="false" customHeight="false" outlineLevel="0" collapsed="false">
      <c r="A45" s="16" t="n">
        <v>38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8" t="n">
        <f aca="false">IF($O45=0,0,$O45*60*Cost!$D$16*Cost!$D$17*IFERROR(INDEX(Cost!$I$5:$I$11,MATCH($B45,Cost!$H$5:$H$11,0)),0)/Cost!$D$5)</f>
        <v>0</v>
      </c>
      <c r="O45" s="19" t="n">
        <f aca="false">IF($W45="",0,IF(INDEX('Flow Curves'!$A$5:$A$11,$X45)=INDEX('Flow Curves'!$A$5:$A$11,$W45),$Y45,$Y45+($Z45-$Y45)*(MAX(10,MIN(150,$C45))-INDEX('Flow Curves'!$A$5:$A$11,$W45))/(INDEX('Flow Curves'!$A$5:$A$11,$X45)-INDEX('Flow Curves'!$A$5:$A$11,$W45))))</f>
        <v>0</v>
      </c>
      <c r="P45" s="20" t="n">
        <f aca="false">IF(OR($B45="Air",$B45="Open Blow"),$O45*60*Cost!$D$16*Cost!$D$17/Cost!$D$5*Cost!$D$13,0)</f>
        <v>0</v>
      </c>
      <c r="Q45" s="17"/>
      <c r="U45" s="16" t="str">
        <f aca="false">IF($D45="","",IF(ISNA(MATCH($B45,Cost!$H$5:$H$11,0)),"CHECK GAS TYPE",IF(OR($C45&lt;10,$C45&gt;150),"CHECK PRESSURE: outside 10-150 psi table",IF(OR($D45&lt;1,$D45&gt;120),"CHECK dB: outside 1-120 table",IF(ISNA(MATCH($C45,'Flow Curves'!$A$5:$A$11,0)),"INTERPOLATED between curves","Table curve")))))</f>
        <v/>
      </c>
      <c r="W45" s="2" t="str">
        <f aca="false">IF(OR($D45="",$C45=""),"",MATCH(MAX(10,MIN(150,$C45)),'Flow Curves'!$A$5:$A$11,1))</f>
        <v/>
      </c>
      <c r="X45" s="2" t="str">
        <f aca="false">IF($W45="","",MIN($W45+1,7))</f>
        <v/>
      </c>
      <c r="Y45" s="2" t="str">
        <f aca="false">IF($W45="","",INDEX('Flow Curves'!$B$5:$B$11,$W45)*POWER($D45,INDEX('Flow Curves'!$C$5:$C$11,$W45)))</f>
        <v/>
      </c>
      <c r="Z45" s="2" t="str">
        <f aca="false">IF($W45="","",INDEX('Flow Curves'!$B$5:$B$11,$X45)*POWER($D45,INDEX('Flow Curves'!$C$5:$C$11,$X45)))</f>
        <v/>
      </c>
    </row>
    <row r="46" customFormat="false" ht="15" hidden="false" customHeight="false" outlineLevel="0" collapsed="false">
      <c r="A46" s="16" t="n">
        <v>39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8" t="n">
        <f aca="false">IF($O46=0,0,$O46*60*Cost!$D$16*Cost!$D$17*IFERROR(INDEX(Cost!$I$5:$I$11,MATCH($B46,Cost!$H$5:$H$11,0)),0)/Cost!$D$5)</f>
        <v>0</v>
      </c>
      <c r="O46" s="19" t="n">
        <f aca="false">IF($W46="",0,IF(INDEX('Flow Curves'!$A$5:$A$11,$X46)=INDEX('Flow Curves'!$A$5:$A$11,$W46),$Y46,$Y46+($Z46-$Y46)*(MAX(10,MIN(150,$C46))-INDEX('Flow Curves'!$A$5:$A$11,$W46))/(INDEX('Flow Curves'!$A$5:$A$11,$X46)-INDEX('Flow Curves'!$A$5:$A$11,$W46))))</f>
        <v>0</v>
      </c>
      <c r="P46" s="20" t="n">
        <f aca="false">IF(OR($B46="Air",$B46="Open Blow"),$O46*60*Cost!$D$16*Cost!$D$17/Cost!$D$5*Cost!$D$13,0)</f>
        <v>0</v>
      </c>
      <c r="Q46" s="17"/>
      <c r="U46" s="16" t="str">
        <f aca="false">IF($D46="","",IF(ISNA(MATCH($B46,Cost!$H$5:$H$11,0)),"CHECK GAS TYPE",IF(OR($C46&lt;10,$C46&gt;150),"CHECK PRESSURE: outside 10-150 psi table",IF(OR($D46&lt;1,$D46&gt;120),"CHECK dB: outside 1-120 table",IF(ISNA(MATCH($C46,'Flow Curves'!$A$5:$A$11,0)),"INTERPOLATED between curves","Table curve")))))</f>
        <v/>
      </c>
      <c r="W46" s="2" t="str">
        <f aca="false">IF(OR($D46="",$C46=""),"",MATCH(MAX(10,MIN(150,$C46)),'Flow Curves'!$A$5:$A$11,1))</f>
        <v/>
      </c>
      <c r="X46" s="2" t="str">
        <f aca="false">IF($W46="","",MIN($W46+1,7))</f>
        <v/>
      </c>
      <c r="Y46" s="2" t="str">
        <f aca="false">IF($W46="","",INDEX('Flow Curves'!$B$5:$B$11,$W46)*POWER($D46,INDEX('Flow Curves'!$C$5:$C$11,$W46)))</f>
        <v/>
      </c>
      <c r="Z46" s="2" t="str">
        <f aca="false">IF($W46="","",INDEX('Flow Curves'!$B$5:$B$11,$X46)*POWER($D46,INDEX('Flow Curves'!$C$5:$C$11,$X46)))</f>
        <v/>
      </c>
    </row>
    <row r="47" customFormat="false" ht="15" hidden="false" customHeight="false" outlineLevel="0" collapsed="false">
      <c r="A47" s="16" t="n">
        <v>40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8" t="n">
        <f aca="false">IF($O47=0,0,$O47*60*Cost!$D$16*Cost!$D$17*IFERROR(INDEX(Cost!$I$5:$I$11,MATCH($B47,Cost!$H$5:$H$11,0)),0)/Cost!$D$5)</f>
        <v>0</v>
      </c>
      <c r="O47" s="19" t="n">
        <f aca="false">IF($W47="",0,IF(INDEX('Flow Curves'!$A$5:$A$11,$X47)=INDEX('Flow Curves'!$A$5:$A$11,$W47),$Y47,$Y47+($Z47-$Y47)*(MAX(10,MIN(150,$C47))-INDEX('Flow Curves'!$A$5:$A$11,$W47))/(INDEX('Flow Curves'!$A$5:$A$11,$X47)-INDEX('Flow Curves'!$A$5:$A$11,$W47))))</f>
        <v>0</v>
      </c>
      <c r="P47" s="20" t="n">
        <f aca="false">IF(OR($B47="Air",$B47="Open Blow"),$O47*60*Cost!$D$16*Cost!$D$17/Cost!$D$5*Cost!$D$13,0)</f>
        <v>0</v>
      </c>
      <c r="Q47" s="17"/>
      <c r="U47" s="16" t="str">
        <f aca="false">IF($D47="","",IF(ISNA(MATCH($B47,Cost!$H$5:$H$11,0)),"CHECK GAS TYPE",IF(OR($C47&lt;10,$C47&gt;150),"CHECK PRESSURE: outside 10-150 psi table",IF(OR($D47&lt;1,$D47&gt;120),"CHECK dB: outside 1-120 table",IF(ISNA(MATCH($C47,'Flow Curves'!$A$5:$A$11,0)),"INTERPOLATED between curves","Table curve")))))</f>
        <v/>
      </c>
      <c r="W47" s="2" t="str">
        <f aca="false">IF(OR($D47="",$C47=""),"",MATCH(MAX(10,MIN(150,$C47)),'Flow Curves'!$A$5:$A$11,1))</f>
        <v/>
      </c>
      <c r="X47" s="2" t="str">
        <f aca="false">IF($W47="","",MIN($W47+1,7))</f>
        <v/>
      </c>
      <c r="Y47" s="2" t="str">
        <f aca="false">IF($W47="","",INDEX('Flow Curves'!$B$5:$B$11,$W47)*POWER($D47,INDEX('Flow Curves'!$C$5:$C$11,$W47)))</f>
        <v/>
      </c>
      <c r="Z47" s="2" t="str">
        <f aca="false">IF($W47="","",INDEX('Flow Curves'!$B$5:$B$11,$X47)*POWER($D47,INDEX('Flow Curves'!$C$5:$C$11,$X47)))</f>
        <v/>
      </c>
    </row>
    <row r="48" customFormat="false" ht="15" hidden="false" customHeight="false" outlineLevel="0" collapsed="false">
      <c r="A48" s="16" t="n">
        <v>41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8" t="n">
        <f aca="false">IF($O48=0,0,$O48*60*Cost!$D$16*Cost!$D$17*IFERROR(INDEX(Cost!$I$5:$I$11,MATCH($B48,Cost!$H$5:$H$11,0)),0)/Cost!$D$5)</f>
        <v>0</v>
      </c>
      <c r="O48" s="19" t="n">
        <f aca="false">IF($W48="",0,IF(INDEX('Flow Curves'!$A$5:$A$11,$X48)=INDEX('Flow Curves'!$A$5:$A$11,$W48),$Y48,$Y48+($Z48-$Y48)*(MAX(10,MIN(150,$C48))-INDEX('Flow Curves'!$A$5:$A$11,$W48))/(INDEX('Flow Curves'!$A$5:$A$11,$X48)-INDEX('Flow Curves'!$A$5:$A$11,$W48))))</f>
        <v>0</v>
      </c>
      <c r="P48" s="20" t="n">
        <f aca="false">IF(OR($B48="Air",$B48="Open Blow"),$O48*60*Cost!$D$16*Cost!$D$17/Cost!$D$5*Cost!$D$13,0)</f>
        <v>0</v>
      </c>
      <c r="Q48" s="17"/>
      <c r="U48" s="16" t="str">
        <f aca="false">IF($D48="","",IF(ISNA(MATCH($B48,Cost!$H$5:$H$11,0)),"CHECK GAS TYPE",IF(OR($C48&lt;10,$C48&gt;150),"CHECK PRESSURE: outside 10-150 psi table",IF(OR($D48&lt;1,$D48&gt;120),"CHECK dB: outside 1-120 table",IF(ISNA(MATCH($C48,'Flow Curves'!$A$5:$A$11,0)),"INTERPOLATED between curves","Table curve")))))</f>
        <v/>
      </c>
      <c r="W48" s="2" t="str">
        <f aca="false">IF(OR($D48="",$C48=""),"",MATCH(MAX(10,MIN(150,$C48)),'Flow Curves'!$A$5:$A$11,1))</f>
        <v/>
      </c>
      <c r="X48" s="2" t="str">
        <f aca="false">IF($W48="","",MIN($W48+1,7))</f>
        <v/>
      </c>
      <c r="Y48" s="2" t="str">
        <f aca="false">IF($W48="","",INDEX('Flow Curves'!$B$5:$B$11,$W48)*POWER($D48,INDEX('Flow Curves'!$C$5:$C$11,$W48)))</f>
        <v/>
      </c>
      <c r="Z48" s="2" t="str">
        <f aca="false">IF($W48="","",INDEX('Flow Curves'!$B$5:$B$11,$X48)*POWER($D48,INDEX('Flow Curves'!$C$5:$C$11,$X48)))</f>
        <v/>
      </c>
    </row>
    <row r="49" customFormat="false" ht="15" hidden="false" customHeight="false" outlineLevel="0" collapsed="false">
      <c r="A49" s="16" t="n">
        <v>42</v>
      </c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8" t="n">
        <f aca="false">IF($O49=0,0,$O49*60*Cost!$D$16*Cost!$D$17*IFERROR(INDEX(Cost!$I$5:$I$11,MATCH($B49,Cost!$H$5:$H$11,0)),0)/Cost!$D$5)</f>
        <v>0</v>
      </c>
      <c r="O49" s="19" t="n">
        <f aca="false">IF($W49="",0,IF(INDEX('Flow Curves'!$A$5:$A$11,$X49)=INDEX('Flow Curves'!$A$5:$A$11,$W49),$Y49,$Y49+($Z49-$Y49)*(MAX(10,MIN(150,$C49))-INDEX('Flow Curves'!$A$5:$A$11,$W49))/(INDEX('Flow Curves'!$A$5:$A$11,$X49)-INDEX('Flow Curves'!$A$5:$A$11,$W49))))</f>
        <v>0</v>
      </c>
      <c r="P49" s="20" t="n">
        <f aca="false">IF(OR($B49="Air",$B49="Open Blow"),$O49*60*Cost!$D$16*Cost!$D$17/Cost!$D$5*Cost!$D$13,0)</f>
        <v>0</v>
      </c>
      <c r="Q49" s="17"/>
      <c r="U49" s="16" t="str">
        <f aca="false">IF($D49="","",IF(ISNA(MATCH($B49,Cost!$H$5:$H$11,0)),"CHECK GAS TYPE",IF(OR($C49&lt;10,$C49&gt;150),"CHECK PRESSURE: outside 10-150 psi table",IF(OR($D49&lt;1,$D49&gt;120),"CHECK dB: outside 1-120 table",IF(ISNA(MATCH($C49,'Flow Curves'!$A$5:$A$11,0)),"INTERPOLATED between curves","Table curve")))))</f>
        <v/>
      </c>
      <c r="W49" s="2" t="str">
        <f aca="false">IF(OR($D49="",$C49=""),"",MATCH(MAX(10,MIN(150,$C49)),'Flow Curves'!$A$5:$A$11,1))</f>
        <v/>
      </c>
      <c r="X49" s="2" t="str">
        <f aca="false">IF($W49="","",MIN($W49+1,7))</f>
        <v/>
      </c>
      <c r="Y49" s="2" t="str">
        <f aca="false">IF($W49="","",INDEX('Flow Curves'!$B$5:$B$11,$W49)*POWER($D49,INDEX('Flow Curves'!$C$5:$C$11,$W49)))</f>
        <v/>
      </c>
      <c r="Z49" s="2" t="str">
        <f aca="false">IF($W49="","",INDEX('Flow Curves'!$B$5:$B$11,$X49)*POWER($D49,INDEX('Flow Curves'!$C$5:$C$11,$X49)))</f>
        <v/>
      </c>
    </row>
    <row r="50" customFormat="false" ht="15" hidden="false" customHeight="false" outlineLevel="0" collapsed="false">
      <c r="A50" s="16" t="n">
        <v>43</v>
      </c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8" t="n">
        <f aca="false">IF($O50=0,0,$O50*60*Cost!$D$16*Cost!$D$17*IFERROR(INDEX(Cost!$I$5:$I$11,MATCH($B50,Cost!$H$5:$H$11,0)),0)/Cost!$D$5)</f>
        <v>0</v>
      </c>
      <c r="O50" s="19" t="n">
        <f aca="false">IF($W50="",0,IF(INDEX('Flow Curves'!$A$5:$A$11,$X50)=INDEX('Flow Curves'!$A$5:$A$11,$W50),$Y50,$Y50+($Z50-$Y50)*(MAX(10,MIN(150,$C50))-INDEX('Flow Curves'!$A$5:$A$11,$W50))/(INDEX('Flow Curves'!$A$5:$A$11,$X50)-INDEX('Flow Curves'!$A$5:$A$11,$W50))))</f>
        <v>0</v>
      </c>
      <c r="P50" s="20" t="n">
        <f aca="false">IF(OR($B50="Air",$B50="Open Blow"),$O50*60*Cost!$D$16*Cost!$D$17/Cost!$D$5*Cost!$D$13,0)</f>
        <v>0</v>
      </c>
      <c r="Q50" s="17"/>
      <c r="U50" s="16" t="str">
        <f aca="false">IF($D50="","",IF(ISNA(MATCH($B50,Cost!$H$5:$H$11,0)),"CHECK GAS TYPE",IF(OR($C50&lt;10,$C50&gt;150),"CHECK PRESSURE: outside 10-150 psi table",IF(OR($D50&lt;1,$D50&gt;120),"CHECK dB: outside 1-120 table",IF(ISNA(MATCH($C50,'Flow Curves'!$A$5:$A$11,0)),"INTERPOLATED between curves","Table curve")))))</f>
        <v/>
      </c>
      <c r="W50" s="2" t="str">
        <f aca="false">IF(OR($D50="",$C50=""),"",MATCH(MAX(10,MIN(150,$C50)),'Flow Curves'!$A$5:$A$11,1))</f>
        <v/>
      </c>
      <c r="X50" s="2" t="str">
        <f aca="false">IF($W50="","",MIN($W50+1,7))</f>
        <v/>
      </c>
      <c r="Y50" s="2" t="str">
        <f aca="false">IF($W50="","",INDEX('Flow Curves'!$B$5:$B$11,$W50)*POWER($D50,INDEX('Flow Curves'!$C$5:$C$11,$W50)))</f>
        <v/>
      </c>
      <c r="Z50" s="2" t="str">
        <f aca="false">IF($W50="","",INDEX('Flow Curves'!$B$5:$B$11,$X50)*POWER($D50,INDEX('Flow Curves'!$C$5:$C$11,$X50)))</f>
        <v/>
      </c>
    </row>
    <row r="51" customFormat="false" ht="15" hidden="false" customHeight="false" outlineLevel="0" collapsed="false">
      <c r="A51" s="16" t="n">
        <v>44</v>
      </c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8" t="n">
        <f aca="false">IF($O51=0,0,$O51*60*Cost!$D$16*Cost!$D$17*IFERROR(INDEX(Cost!$I$5:$I$11,MATCH($B51,Cost!$H$5:$H$11,0)),0)/Cost!$D$5)</f>
        <v>0</v>
      </c>
      <c r="O51" s="19" t="n">
        <f aca="false">IF($W51="",0,IF(INDEX('Flow Curves'!$A$5:$A$11,$X51)=INDEX('Flow Curves'!$A$5:$A$11,$W51),$Y51,$Y51+($Z51-$Y51)*(MAX(10,MIN(150,$C51))-INDEX('Flow Curves'!$A$5:$A$11,$W51))/(INDEX('Flow Curves'!$A$5:$A$11,$X51)-INDEX('Flow Curves'!$A$5:$A$11,$W51))))</f>
        <v>0</v>
      </c>
      <c r="P51" s="20" t="n">
        <f aca="false">IF(OR($B51="Air",$B51="Open Blow"),$O51*60*Cost!$D$16*Cost!$D$17/Cost!$D$5*Cost!$D$13,0)</f>
        <v>0</v>
      </c>
      <c r="Q51" s="17"/>
      <c r="U51" s="16" t="str">
        <f aca="false">IF($D51="","",IF(ISNA(MATCH($B51,Cost!$H$5:$H$11,0)),"CHECK GAS TYPE",IF(OR($C51&lt;10,$C51&gt;150),"CHECK PRESSURE: outside 10-150 psi table",IF(OR($D51&lt;1,$D51&gt;120),"CHECK dB: outside 1-120 table",IF(ISNA(MATCH($C51,'Flow Curves'!$A$5:$A$11,0)),"INTERPOLATED between curves","Table curve")))))</f>
        <v/>
      </c>
      <c r="W51" s="2" t="str">
        <f aca="false">IF(OR($D51="",$C51=""),"",MATCH(MAX(10,MIN(150,$C51)),'Flow Curves'!$A$5:$A$11,1))</f>
        <v/>
      </c>
      <c r="X51" s="2" t="str">
        <f aca="false">IF($W51="","",MIN($W51+1,7))</f>
        <v/>
      </c>
      <c r="Y51" s="2" t="str">
        <f aca="false">IF($W51="","",INDEX('Flow Curves'!$B$5:$B$11,$W51)*POWER($D51,INDEX('Flow Curves'!$C$5:$C$11,$W51)))</f>
        <v/>
      </c>
      <c r="Z51" s="2" t="str">
        <f aca="false">IF($W51="","",INDEX('Flow Curves'!$B$5:$B$11,$X51)*POWER($D51,INDEX('Flow Curves'!$C$5:$C$11,$X51)))</f>
        <v/>
      </c>
    </row>
    <row r="52" customFormat="false" ht="15" hidden="false" customHeight="false" outlineLevel="0" collapsed="false">
      <c r="A52" s="16" t="n">
        <v>45</v>
      </c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8" t="n">
        <f aca="false">IF($O52=0,0,$O52*60*Cost!$D$16*Cost!$D$17*IFERROR(INDEX(Cost!$I$5:$I$11,MATCH($B52,Cost!$H$5:$H$11,0)),0)/Cost!$D$5)</f>
        <v>0</v>
      </c>
      <c r="O52" s="19" t="n">
        <f aca="false">IF($W52="",0,IF(INDEX('Flow Curves'!$A$5:$A$11,$X52)=INDEX('Flow Curves'!$A$5:$A$11,$W52),$Y52,$Y52+($Z52-$Y52)*(MAX(10,MIN(150,$C52))-INDEX('Flow Curves'!$A$5:$A$11,$W52))/(INDEX('Flow Curves'!$A$5:$A$11,$X52)-INDEX('Flow Curves'!$A$5:$A$11,$W52))))</f>
        <v>0</v>
      </c>
      <c r="P52" s="20" t="n">
        <f aca="false">IF(OR($B52="Air",$B52="Open Blow"),$O52*60*Cost!$D$16*Cost!$D$17/Cost!$D$5*Cost!$D$13,0)</f>
        <v>0</v>
      </c>
      <c r="Q52" s="17"/>
      <c r="U52" s="16" t="str">
        <f aca="false">IF($D52="","",IF(ISNA(MATCH($B52,Cost!$H$5:$H$11,0)),"CHECK GAS TYPE",IF(OR($C52&lt;10,$C52&gt;150),"CHECK PRESSURE: outside 10-150 psi table",IF(OR($D52&lt;1,$D52&gt;120),"CHECK dB: outside 1-120 table",IF(ISNA(MATCH($C52,'Flow Curves'!$A$5:$A$11,0)),"INTERPOLATED between curves","Table curve")))))</f>
        <v/>
      </c>
      <c r="W52" s="2" t="str">
        <f aca="false">IF(OR($D52="",$C52=""),"",MATCH(MAX(10,MIN(150,$C52)),'Flow Curves'!$A$5:$A$11,1))</f>
        <v/>
      </c>
      <c r="X52" s="2" t="str">
        <f aca="false">IF($W52="","",MIN($W52+1,7))</f>
        <v/>
      </c>
      <c r="Y52" s="2" t="str">
        <f aca="false">IF($W52="","",INDEX('Flow Curves'!$B$5:$B$11,$W52)*POWER($D52,INDEX('Flow Curves'!$C$5:$C$11,$W52)))</f>
        <v/>
      </c>
      <c r="Z52" s="2" t="str">
        <f aca="false">IF($W52="","",INDEX('Flow Curves'!$B$5:$B$11,$X52)*POWER($D52,INDEX('Flow Curves'!$C$5:$C$11,$X52)))</f>
        <v/>
      </c>
    </row>
    <row r="53" customFormat="false" ht="15" hidden="false" customHeight="false" outlineLevel="0" collapsed="false">
      <c r="A53" s="16" t="n">
        <v>46</v>
      </c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8" t="n">
        <f aca="false">IF($O53=0,0,$O53*60*Cost!$D$16*Cost!$D$17*IFERROR(INDEX(Cost!$I$5:$I$11,MATCH($B53,Cost!$H$5:$H$11,0)),0)/Cost!$D$5)</f>
        <v>0</v>
      </c>
      <c r="O53" s="19" t="n">
        <f aca="false">IF($W53="",0,IF(INDEX('Flow Curves'!$A$5:$A$11,$X53)=INDEX('Flow Curves'!$A$5:$A$11,$W53),$Y53,$Y53+($Z53-$Y53)*(MAX(10,MIN(150,$C53))-INDEX('Flow Curves'!$A$5:$A$11,$W53))/(INDEX('Flow Curves'!$A$5:$A$11,$X53)-INDEX('Flow Curves'!$A$5:$A$11,$W53))))</f>
        <v>0</v>
      </c>
      <c r="P53" s="20" t="n">
        <f aca="false">IF(OR($B53="Air",$B53="Open Blow"),$O53*60*Cost!$D$16*Cost!$D$17/Cost!$D$5*Cost!$D$13,0)</f>
        <v>0</v>
      </c>
      <c r="Q53" s="17"/>
      <c r="U53" s="16" t="str">
        <f aca="false">IF($D53="","",IF(ISNA(MATCH($B53,Cost!$H$5:$H$11,0)),"CHECK GAS TYPE",IF(OR($C53&lt;10,$C53&gt;150),"CHECK PRESSURE: outside 10-150 psi table",IF(OR($D53&lt;1,$D53&gt;120),"CHECK dB: outside 1-120 table",IF(ISNA(MATCH($C53,'Flow Curves'!$A$5:$A$11,0)),"INTERPOLATED between curves","Table curve")))))</f>
        <v/>
      </c>
      <c r="W53" s="2" t="str">
        <f aca="false">IF(OR($D53="",$C53=""),"",MATCH(MAX(10,MIN(150,$C53)),'Flow Curves'!$A$5:$A$11,1))</f>
        <v/>
      </c>
      <c r="X53" s="2" t="str">
        <f aca="false">IF($W53="","",MIN($W53+1,7))</f>
        <v/>
      </c>
      <c r="Y53" s="2" t="str">
        <f aca="false">IF($W53="","",INDEX('Flow Curves'!$B$5:$B$11,$W53)*POWER($D53,INDEX('Flow Curves'!$C$5:$C$11,$W53)))</f>
        <v/>
      </c>
      <c r="Z53" s="2" t="str">
        <f aca="false">IF($W53="","",INDEX('Flow Curves'!$B$5:$B$11,$X53)*POWER($D53,INDEX('Flow Curves'!$C$5:$C$11,$X53)))</f>
        <v/>
      </c>
    </row>
    <row r="54" customFormat="false" ht="15" hidden="false" customHeight="false" outlineLevel="0" collapsed="false">
      <c r="A54" s="16" t="n">
        <v>47</v>
      </c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8" t="n">
        <f aca="false">IF($O54=0,0,$O54*60*Cost!$D$16*Cost!$D$17*IFERROR(INDEX(Cost!$I$5:$I$11,MATCH($B54,Cost!$H$5:$H$11,0)),0)/Cost!$D$5)</f>
        <v>0</v>
      </c>
      <c r="O54" s="19" t="n">
        <f aca="false">IF($W54="",0,IF(INDEX('Flow Curves'!$A$5:$A$11,$X54)=INDEX('Flow Curves'!$A$5:$A$11,$W54),$Y54,$Y54+($Z54-$Y54)*(MAX(10,MIN(150,$C54))-INDEX('Flow Curves'!$A$5:$A$11,$W54))/(INDEX('Flow Curves'!$A$5:$A$11,$X54)-INDEX('Flow Curves'!$A$5:$A$11,$W54))))</f>
        <v>0</v>
      </c>
      <c r="P54" s="20" t="n">
        <f aca="false">IF(OR($B54="Air",$B54="Open Blow"),$O54*60*Cost!$D$16*Cost!$D$17/Cost!$D$5*Cost!$D$13,0)</f>
        <v>0</v>
      </c>
      <c r="Q54" s="17"/>
      <c r="U54" s="16" t="str">
        <f aca="false">IF($D54="","",IF(ISNA(MATCH($B54,Cost!$H$5:$H$11,0)),"CHECK GAS TYPE",IF(OR($C54&lt;10,$C54&gt;150),"CHECK PRESSURE: outside 10-150 psi table",IF(OR($D54&lt;1,$D54&gt;120),"CHECK dB: outside 1-120 table",IF(ISNA(MATCH($C54,'Flow Curves'!$A$5:$A$11,0)),"INTERPOLATED between curves","Table curve")))))</f>
        <v/>
      </c>
      <c r="W54" s="2" t="str">
        <f aca="false">IF(OR($D54="",$C54=""),"",MATCH(MAX(10,MIN(150,$C54)),'Flow Curves'!$A$5:$A$11,1))</f>
        <v/>
      </c>
      <c r="X54" s="2" t="str">
        <f aca="false">IF($W54="","",MIN($W54+1,7))</f>
        <v/>
      </c>
      <c r="Y54" s="2" t="str">
        <f aca="false">IF($W54="","",INDEX('Flow Curves'!$B$5:$B$11,$W54)*POWER($D54,INDEX('Flow Curves'!$C$5:$C$11,$W54)))</f>
        <v/>
      </c>
      <c r="Z54" s="2" t="str">
        <f aca="false">IF($W54="","",INDEX('Flow Curves'!$B$5:$B$11,$X54)*POWER($D54,INDEX('Flow Curves'!$C$5:$C$11,$X54)))</f>
        <v/>
      </c>
    </row>
    <row r="55" customFormat="false" ht="15" hidden="false" customHeight="false" outlineLevel="0" collapsed="false">
      <c r="A55" s="16" t="n">
        <v>48</v>
      </c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8" t="n">
        <f aca="false">IF($O55=0,0,$O55*60*Cost!$D$16*Cost!$D$17*IFERROR(INDEX(Cost!$I$5:$I$11,MATCH($B55,Cost!$H$5:$H$11,0)),0)/Cost!$D$5)</f>
        <v>0</v>
      </c>
      <c r="O55" s="19" t="n">
        <f aca="false">IF($W55="",0,IF(INDEX('Flow Curves'!$A$5:$A$11,$X55)=INDEX('Flow Curves'!$A$5:$A$11,$W55),$Y55,$Y55+($Z55-$Y55)*(MAX(10,MIN(150,$C55))-INDEX('Flow Curves'!$A$5:$A$11,$W55))/(INDEX('Flow Curves'!$A$5:$A$11,$X55)-INDEX('Flow Curves'!$A$5:$A$11,$W55))))</f>
        <v>0</v>
      </c>
      <c r="P55" s="20" t="n">
        <f aca="false">IF(OR($B55="Air",$B55="Open Blow"),$O55*60*Cost!$D$16*Cost!$D$17/Cost!$D$5*Cost!$D$13,0)</f>
        <v>0</v>
      </c>
      <c r="Q55" s="17"/>
      <c r="U55" s="16" t="str">
        <f aca="false">IF($D55="","",IF(ISNA(MATCH($B55,Cost!$H$5:$H$11,0)),"CHECK GAS TYPE",IF(OR($C55&lt;10,$C55&gt;150),"CHECK PRESSURE: outside 10-150 psi table",IF(OR($D55&lt;1,$D55&gt;120),"CHECK dB: outside 1-120 table",IF(ISNA(MATCH($C55,'Flow Curves'!$A$5:$A$11,0)),"INTERPOLATED between curves","Table curve")))))</f>
        <v/>
      </c>
      <c r="W55" s="2" t="str">
        <f aca="false">IF(OR($D55="",$C55=""),"",MATCH(MAX(10,MIN(150,$C55)),'Flow Curves'!$A$5:$A$11,1))</f>
        <v/>
      </c>
      <c r="X55" s="2" t="str">
        <f aca="false">IF($W55="","",MIN($W55+1,7))</f>
        <v/>
      </c>
      <c r="Y55" s="2" t="str">
        <f aca="false">IF($W55="","",INDEX('Flow Curves'!$B$5:$B$11,$W55)*POWER($D55,INDEX('Flow Curves'!$C$5:$C$11,$W55)))</f>
        <v/>
      </c>
      <c r="Z55" s="2" t="str">
        <f aca="false">IF($W55="","",INDEX('Flow Curves'!$B$5:$B$11,$X55)*POWER($D55,INDEX('Flow Curves'!$C$5:$C$11,$X55)))</f>
        <v/>
      </c>
    </row>
    <row r="56" customFormat="false" ht="15" hidden="false" customHeight="false" outlineLevel="0" collapsed="false">
      <c r="A56" s="16" t="n">
        <v>49</v>
      </c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8" t="n">
        <f aca="false">IF($O56=0,0,$O56*60*Cost!$D$16*Cost!$D$17*IFERROR(INDEX(Cost!$I$5:$I$11,MATCH($B56,Cost!$H$5:$H$11,0)),0)/Cost!$D$5)</f>
        <v>0</v>
      </c>
      <c r="O56" s="19" t="n">
        <f aca="false">IF($W56="",0,IF(INDEX('Flow Curves'!$A$5:$A$11,$X56)=INDEX('Flow Curves'!$A$5:$A$11,$W56),$Y56,$Y56+($Z56-$Y56)*(MAX(10,MIN(150,$C56))-INDEX('Flow Curves'!$A$5:$A$11,$W56))/(INDEX('Flow Curves'!$A$5:$A$11,$X56)-INDEX('Flow Curves'!$A$5:$A$11,$W56))))</f>
        <v>0</v>
      </c>
      <c r="P56" s="20" t="n">
        <f aca="false">IF(OR($B56="Air",$B56="Open Blow"),$O56*60*Cost!$D$16*Cost!$D$17/Cost!$D$5*Cost!$D$13,0)</f>
        <v>0</v>
      </c>
      <c r="Q56" s="17"/>
      <c r="U56" s="16" t="str">
        <f aca="false">IF($D56="","",IF(ISNA(MATCH($B56,Cost!$H$5:$H$11,0)),"CHECK GAS TYPE",IF(OR($C56&lt;10,$C56&gt;150),"CHECK PRESSURE: outside 10-150 psi table",IF(OR($D56&lt;1,$D56&gt;120),"CHECK dB: outside 1-120 table",IF(ISNA(MATCH($C56,'Flow Curves'!$A$5:$A$11,0)),"INTERPOLATED between curves","Table curve")))))</f>
        <v/>
      </c>
      <c r="W56" s="2" t="str">
        <f aca="false">IF(OR($D56="",$C56=""),"",MATCH(MAX(10,MIN(150,$C56)),'Flow Curves'!$A$5:$A$11,1))</f>
        <v/>
      </c>
      <c r="X56" s="2" t="str">
        <f aca="false">IF($W56="","",MIN($W56+1,7))</f>
        <v/>
      </c>
      <c r="Y56" s="2" t="str">
        <f aca="false">IF($W56="","",INDEX('Flow Curves'!$B$5:$B$11,$W56)*POWER($D56,INDEX('Flow Curves'!$C$5:$C$11,$W56)))</f>
        <v/>
      </c>
      <c r="Z56" s="2" t="str">
        <f aca="false">IF($W56="","",INDEX('Flow Curves'!$B$5:$B$11,$X56)*POWER($D56,INDEX('Flow Curves'!$C$5:$C$11,$X56)))</f>
        <v/>
      </c>
    </row>
    <row r="57" customFormat="false" ht="15" hidden="false" customHeight="false" outlineLevel="0" collapsed="false">
      <c r="A57" s="16" t="n">
        <v>50</v>
      </c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8" t="n">
        <f aca="false">IF($O57=0,0,$O57*60*Cost!$D$16*Cost!$D$17*IFERROR(INDEX(Cost!$I$5:$I$11,MATCH($B57,Cost!$H$5:$H$11,0)),0)/Cost!$D$5)</f>
        <v>0</v>
      </c>
      <c r="O57" s="19" t="n">
        <f aca="false">IF($W57="",0,IF(INDEX('Flow Curves'!$A$5:$A$11,$X57)=INDEX('Flow Curves'!$A$5:$A$11,$W57),$Y57,$Y57+($Z57-$Y57)*(MAX(10,MIN(150,$C57))-INDEX('Flow Curves'!$A$5:$A$11,$W57))/(INDEX('Flow Curves'!$A$5:$A$11,$X57)-INDEX('Flow Curves'!$A$5:$A$11,$W57))))</f>
        <v>0</v>
      </c>
      <c r="P57" s="20" t="n">
        <f aca="false">IF(OR($B57="Air",$B57="Open Blow"),$O57*60*Cost!$D$16*Cost!$D$17/Cost!$D$5*Cost!$D$13,0)</f>
        <v>0</v>
      </c>
      <c r="Q57" s="17"/>
      <c r="U57" s="16" t="str">
        <f aca="false">IF($D57="","",IF(ISNA(MATCH($B57,Cost!$H$5:$H$11,0)),"CHECK GAS TYPE",IF(OR($C57&lt;10,$C57&gt;150),"CHECK PRESSURE: outside 10-150 psi table",IF(OR($D57&lt;1,$D57&gt;120),"CHECK dB: outside 1-120 table",IF(ISNA(MATCH($C57,'Flow Curves'!$A$5:$A$11,0)),"INTERPOLATED between curves","Table curve")))))</f>
        <v/>
      </c>
      <c r="W57" s="2" t="str">
        <f aca="false">IF(OR($D57="",$C57=""),"",MATCH(MAX(10,MIN(150,$C57)),'Flow Curves'!$A$5:$A$11,1))</f>
        <v/>
      </c>
      <c r="X57" s="2" t="str">
        <f aca="false">IF($W57="","",MIN($W57+1,7))</f>
        <v/>
      </c>
      <c r="Y57" s="2" t="str">
        <f aca="false">IF($W57="","",INDEX('Flow Curves'!$B$5:$B$11,$W57)*POWER($D57,INDEX('Flow Curves'!$C$5:$C$11,$W57)))</f>
        <v/>
      </c>
      <c r="Z57" s="2" t="str">
        <f aca="false">IF($W57="","",INDEX('Flow Curves'!$B$5:$B$11,$X57)*POWER($D57,INDEX('Flow Curves'!$C$5:$C$11,$X57)))</f>
        <v/>
      </c>
    </row>
    <row r="58" customFormat="false" ht="15" hidden="false" customHeight="false" outlineLevel="0" collapsed="false">
      <c r="A58" s="16" t="n">
        <v>51</v>
      </c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8" t="n">
        <f aca="false">IF($O58=0,0,$O58*60*Cost!$D$16*Cost!$D$17*IFERROR(INDEX(Cost!$I$5:$I$11,MATCH($B58,Cost!$H$5:$H$11,0)),0)/Cost!$D$5)</f>
        <v>0</v>
      </c>
      <c r="O58" s="19" t="n">
        <f aca="false">IF($W58="",0,IF(INDEX('Flow Curves'!$A$5:$A$11,$X58)=INDEX('Flow Curves'!$A$5:$A$11,$W58),$Y58,$Y58+($Z58-$Y58)*(MAX(10,MIN(150,$C58))-INDEX('Flow Curves'!$A$5:$A$11,$W58))/(INDEX('Flow Curves'!$A$5:$A$11,$X58)-INDEX('Flow Curves'!$A$5:$A$11,$W58))))</f>
        <v>0</v>
      </c>
      <c r="P58" s="20" t="n">
        <f aca="false">IF(OR($B58="Air",$B58="Open Blow"),$O58*60*Cost!$D$16*Cost!$D$17/Cost!$D$5*Cost!$D$13,0)</f>
        <v>0</v>
      </c>
      <c r="Q58" s="17"/>
      <c r="U58" s="16" t="str">
        <f aca="false">IF($D58="","",IF(ISNA(MATCH($B58,Cost!$H$5:$H$11,0)),"CHECK GAS TYPE",IF(OR($C58&lt;10,$C58&gt;150),"CHECK PRESSURE: outside 10-150 psi table",IF(OR($D58&lt;1,$D58&gt;120),"CHECK dB: outside 1-120 table",IF(ISNA(MATCH($C58,'Flow Curves'!$A$5:$A$11,0)),"INTERPOLATED between curves","Table curve")))))</f>
        <v/>
      </c>
      <c r="W58" s="2" t="str">
        <f aca="false">IF(OR($D58="",$C58=""),"",MATCH(MAX(10,MIN(150,$C58)),'Flow Curves'!$A$5:$A$11,1))</f>
        <v/>
      </c>
      <c r="X58" s="2" t="str">
        <f aca="false">IF($W58="","",MIN($W58+1,7))</f>
        <v/>
      </c>
      <c r="Y58" s="2" t="str">
        <f aca="false">IF($W58="","",INDEX('Flow Curves'!$B$5:$B$11,$W58)*POWER($D58,INDEX('Flow Curves'!$C$5:$C$11,$W58)))</f>
        <v/>
      </c>
      <c r="Z58" s="2" t="str">
        <f aca="false">IF($W58="","",INDEX('Flow Curves'!$B$5:$B$11,$X58)*POWER($D58,INDEX('Flow Curves'!$C$5:$C$11,$X58)))</f>
        <v/>
      </c>
    </row>
    <row r="59" customFormat="false" ht="15" hidden="false" customHeight="false" outlineLevel="0" collapsed="false">
      <c r="A59" s="16" t="n">
        <v>52</v>
      </c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8" t="n">
        <f aca="false">IF($O59=0,0,$O59*60*Cost!$D$16*Cost!$D$17*IFERROR(INDEX(Cost!$I$5:$I$11,MATCH($B59,Cost!$H$5:$H$11,0)),0)/Cost!$D$5)</f>
        <v>0</v>
      </c>
      <c r="O59" s="19" t="n">
        <f aca="false">IF($W59="",0,IF(INDEX('Flow Curves'!$A$5:$A$11,$X59)=INDEX('Flow Curves'!$A$5:$A$11,$W59),$Y59,$Y59+($Z59-$Y59)*(MAX(10,MIN(150,$C59))-INDEX('Flow Curves'!$A$5:$A$11,$W59))/(INDEX('Flow Curves'!$A$5:$A$11,$X59)-INDEX('Flow Curves'!$A$5:$A$11,$W59))))</f>
        <v>0</v>
      </c>
      <c r="P59" s="20" t="n">
        <f aca="false">IF(OR($B59="Air",$B59="Open Blow"),$O59*60*Cost!$D$16*Cost!$D$17/Cost!$D$5*Cost!$D$13,0)</f>
        <v>0</v>
      </c>
      <c r="Q59" s="17"/>
      <c r="U59" s="16" t="str">
        <f aca="false">IF($D59="","",IF(ISNA(MATCH($B59,Cost!$H$5:$H$11,0)),"CHECK GAS TYPE",IF(OR($C59&lt;10,$C59&gt;150),"CHECK PRESSURE: outside 10-150 psi table",IF(OR($D59&lt;1,$D59&gt;120),"CHECK dB: outside 1-120 table",IF(ISNA(MATCH($C59,'Flow Curves'!$A$5:$A$11,0)),"INTERPOLATED between curves","Table curve")))))</f>
        <v/>
      </c>
      <c r="W59" s="2" t="str">
        <f aca="false">IF(OR($D59="",$C59=""),"",MATCH(MAX(10,MIN(150,$C59)),'Flow Curves'!$A$5:$A$11,1))</f>
        <v/>
      </c>
      <c r="X59" s="2" t="str">
        <f aca="false">IF($W59="","",MIN($W59+1,7))</f>
        <v/>
      </c>
      <c r="Y59" s="2" t="str">
        <f aca="false">IF($W59="","",INDEX('Flow Curves'!$B$5:$B$11,$W59)*POWER($D59,INDEX('Flow Curves'!$C$5:$C$11,$W59)))</f>
        <v/>
      </c>
      <c r="Z59" s="2" t="str">
        <f aca="false">IF($W59="","",INDEX('Flow Curves'!$B$5:$B$11,$X59)*POWER($D59,INDEX('Flow Curves'!$C$5:$C$11,$X59)))</f>
        <v/>
      </c>
    </row>
    <row r="60" customFormat="false" ht="15" hidden="false" customHeight="false" outlineLevel="0" collapsed="false">
      <c r="A60" s="16" t="n">
        <v>53</v>
      </c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8" t="n">
        <f aca="false">IF($O60=0,0,$O60*60*Cost!$D$16*Cost!$D$17*IFERROR(INDEX(Cost!$I$5:$I$11,MATCH($B60,Cost!$H$5:$H$11,0)),0)/Cost!$D$5)</f>
        <v>0</v>
      </c>
      <c r="O60" s="19" t="n">
        <f aca="false">IF($W60="",0,IF(INDEX('Flow Curves'!$A$5:$A$11,$X60)=INDEX('Flow Curves'!$A$5:$A$11,$W60),$Y60,$Y60+($Z60-$Y60)*(MAX(10,MIN(150,$C60))-INDEX('Flow Curves'!$A$5:$A$11,$W60))/(INDEX('Flow Curves'!$A$5:$A$11,$X60)-INDEX('Flow Curves'!$A$5:$A$11,$W60))))</f>
        <v>0</v>
      </c>
      <c r="P60" s="20" t="n">
        <f aca="false">IF(OR($B60="Air",$B60="Open Blow"),$O60*60*Cost!$D$16*Cost!$D$17/Cost!$D$5*Cost!$D$13,0)</f>
        <v>0</v>
      </c>
      <c r="Q60" s="17"/>
      <c r="U60" s="16" t="str">
        <f aca="false">IF($D60="","",IF(ISNA(MATCH($B60,Cost!$H$5:$H$11,0)),"CHECK GAS TYPE",IF(OR($C60&lt;10,$C60&gt;150),"CHECK PRESSURE: outside 10-150 psi table",IF(OR($D60&lt;1,$D60&gt;120),"CHECK dB: outside 1-120 table",IF(ISNA(MATCH($C60,'Flow Curves'!$A$5:$A$11,0)),"INTERPOLATED between curves","Table curve")))))</f>
        <v/>
      </c>
      <c r="W60" s="2" t="str">
        <f aca="false">IF(OR($D60="",$C60=""),"",MATCH(MAX(10,MIN(150,$C60)),'Flow Curves'!$A$5:$A$11,1))</f>
        <v/>
      </c>
      <c r="X60" s="2" t="str">
        <f aca="false">IF($W60="","",MIN($W60+1,7))</f>
        <v/>
      </c>
      <c r="Y60" s="2" t="str">
        <f aca="false">IF($W60="","",INDEX('Flow Curves'!$B$5:$B$11,$W60)*POWER($D60,INDEX('Flow Curves'!$C$5:$C$11,$W60)))</f>
        <v/>
      </c>
      <c r="Z60" s="2" t="str">
        <f aca="false">IF($W60="","",INDEX('Flow Curves'!$B$5:$B$11,$X60)*POWER($D60,INDEX('Flow Curves'!$C$5:$C$11,$X60)))</f>
        <v/>
      </c>
    </row>
    <row r="61" customFormat="false" ht="15" hidden="false" customHeight="false" outlineLevel="0" collapsed="false">
      <c r="A61" s="16" t="n">
        <v>54</v>
      </c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8" t="n">
        <f aca="false">IF($O61=0,0,$O61*60*Cost!$D$16*Cost!$D$17*IFERROR(INDEX(Cost!$I$5:$I$11,MATCH($B61,Cost!$H$5:$H$11,0)),0)/Cost!$D$5)</f>
        <v>0</v>
      </c>
      <c r="O61" s="19" t="n">
        <f aca="false">IF($W61="",0,IF(INDEX('Flow Curves'!$A$5:$A$11,$X61)=INDEX('Flow Curves'!$A$5:$A$11,$W61),$Y61,$Y61+($Z61-$Y61)*(MAX(10,MIN(150,$C61))-INDEX('Flow Curves'!$A$5:$A$11,$W61))/(INDEX('Flow Curves'!$A$5:$A$11,$X61)-INDEX('Flow Curves'!$A$5:$A$11,$W61))))</f>
        <v>0</v>
      </c>
      <c r="P61" s="20" t="n">
        <f aca="false">IF(OR($B61="Air",$B61="Open Blow"),$O61*60*Cost!$D$16*Cost!$D$17/Cost!$D$5*Cost!$D$13,0)</f>
        <v>0</v>
      </c>
      <c r="Q61" s="17"/>
      <c r="U61" s="16" t="str">
        <f aca="false">IF($D61="","",IF(ISNA(MATCH($B61,Cost!$H$5:$H$11,0)),"CHECK GAS TYPE",IF(OR($C61&lt;10,$C61&gt;150),"CHECK PRESSURE: outside 10-150 psi table",IF(OR($D61&lt;1,$D61&gt;120),"CHECK dB: outside 1-120 table",IF(ISNA(MATCH($C61,'Flow Curves'!$A$5:$A$11,0)),"INTERPOLATED between curves","Table curve")))))</f>
        <v/>
      </c>
      <c r="W61" s="2" t="str">
        <f aca="false">IF(OR($D61="",$C61=""),"",MATCH(MAX(10,MIN(150,$C61)),'Flow Curves'!$A$5:$A$11,1))</f>
        <v/>
      </c>
      <c r="X61" s="2" t="str">
        <f aca="false">IF($W61="","",MIN($W61+1,7))</f>
        <v/>
      </c>
      <c r="Y61" s="2" t="str">
        <f aca="false">IF($W61="","",INDEX('Flow Curves'!$B$5:$B$11,$W61)*POWER($D61,INDEX('Flow Curves'!$C$5:$C$11,$W61)))</f>
        <v/>
      </c>
      <c r="Z61" s="2" t="str">
        <f aca="false">IF($W61="","",INDEX('Flow Curves'!$B$5:$B$11,$X61)*POWER($D61,INDEX('Flow Curves'!$C$5:$C$11,$X61)))</f>
        <v/>
      </c>
    </row>
    <row r="62" customFormat="false" ht="15" hidden="false" customHeight="false" outlineLevel="0" collapsed="false">
      <c r="A62" s="16" t="n">
        <v>55</v>
      </c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8" t="n">
        <f aca="false">IF($O62=0,0,$O62*60*Cost!$D$16*Cost!$D$17*IFERROR(INDEX(Cost!$I$5:$I$11,MATCH($B62,Cost!$H$5:$H$11,0)),0)/Cost!$D$5)</f>
        <v>0</v>
      </c>
      <c r="O62" s="19" t="n">
        <f aca="false">IF($W62="",0,IF(INDEX('Flow Curves'!$A$5:$A$11,$X62)=INDEX('Flow Curves'!$A$5:$A$11,$W62),$Y62,$Y62+($Z62-$Y62)*(MAX(10,MIN(150,$C62))-INDEX('Flow Curves'!$A$5:$A$11,$W62))/(INDEX('Flow Curves'!$A$5:$A$11,$X62)-INDEX('Flow Curves'!$A$5:$A$11,$W62))))</f>
        <v>0</v>
      </c>
      <c r="P62" s="20" t="n">
        <f aca="false">IF(OR($B62="Air",$B62="Open Blow"),$O62*60*Cost!$D$16*Cost!$D$17/Cost!$D$5*Cost!$D$13,0)</f>
        <v>0</v>
      </c>
      <c r="Q62" s="17"/>
      <c r="U62" s="16" t="str">
        <f aca="false">IF($D62="","",IF(ISNA(MATCH($B62,Cost!$H$5:$H$11,0)),"CHECK GAS TYPE",IF(OR($C62&lt;10,$C62&gt;150),"CHECK PRESSURE: outside 10-150 psi table",IF(OR($D62&lt;1,$D62&gt;120),"CHECK dB: outside 1-120 table",IF(ISNA(MATCH($C62,'Flow Curves'!$A$5:$A$11,0)),"INTERPOLATED between curves","Table curve")))))</f>
        <v/>
      </c>
      <c r="W62" s="2" t="str">
        <f aca="false">IF(OR($D62="",$C62=""),"",MATCH(MAX(10,MIN(150,$C62)),'Flow Curves'!$A$5:$A$11,1))</f>
        <v/>
      </c>
      <c r="X62" s="2" t="str">
        <f aca="false">IF($W62="","",MIN($W62+1,7))</f>
        <v/>
      </c>
      <c r="Y62" s="2" t="str">
        <f aca="false">IF($W62="","",INDEX('Flow Curves'!$B$5:$B$11,$W62)*POWER($D62,INDEX('Flow Curves'!$C$5:$C$11,$W62)))</f>
        <v/>
      </c>
      <c r="Z62" s="2" t="str">
        <f aca="false">IF($W62="","",INDEX('Flow Curves'!$B$5:$B$11,$X62)*POWER($D62,INDEX('Flow Curves'!$C$5:$C$11,$X62)))</f>
        <v/>
      </c>
    </row>
    <row r="63" customFormat="false" ht="15" hidden="false" customHeight="false" outlineLevel="0" collapsed="false">
      <c r="A63" s="16" t="n">
        <v>56</v>
      </c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8" t="n">
        <f aca="false">IF($O63=0,0,$O63*60*Cost!$D$16*Cost!$D$17*IFERROR(INDEX(Cost!$I$5:$I$11,MATCH($B63,Cost!$H$5:$H$11,0)),0)/Cost!$D$5)</f>
        <v>0</v>
      </c>
      <c r="O63" s="19" t="n">
        <f aca="false">IF($W63="",0,IF(INDEX('Flow Curves'!$A$5:$A$11,$X63)=INDEX('Flow Curves'!$A$5:$A$11,$W63),$Y63,$Y63+($Z63-$Y63)*(MAX(10,MIN(150,$C63))-INDEX('Flow Curves'!$A$5:$A$11,$W63))/(INDEX('Flow Curves'!$A$5:$A$11,$X63)-INDEX('Flow Curves'!$A$5:$A$11,$W63))))</f>
        <v>0</v>
      </c>
      <c r="P63" s="20" t="n">
        <f aca="false">IF(OR($B63="Air",$B63="Open Blow"),$O63*60*Cost!$D$16*Cost!$D$17/Cost!$D$5*Cost!$D$13,0)</f>
        <v>0</v>
      </c>
      <c r="Q63" s="17"/>
      <c r="U63" s="16" t="str">
        <f aca="false">IF($D63="","",IF(ISNA(MATCH($B63,Cost!$H$5:$H$11,0)),"CHECK GAS TYPE",IF(OR($C63&lt;10,$C63&gt;150),"CHECK PRESSURE: outside 10-150 psi table",IF(OR($D63&lt;1,$D63&gt;120),"CHECK dB: outside 1-120 table",IF(ISNA(MATCH($C63,'Flow Curves'!$A$5:$A$11,0)),"INTERPOLATED between curves","Table curve")))))</f>
        <v/>
      </c>
      <c r="W63" s="2" t="str">
        <f aca="false">IF(OR($D63="",$C63=""),"",MATCH(MAX(10,MIN(150,$C63)),'Flow Curves'!$A$5:$A$11,1))</f>
        <v/>
      </c>
      <c r="X63" s="2" t="str">
        <f aca="false">IF($W63="","",MIN($W63+1,7))</f>
        <v/>
      </c>
      <c r="Y63" s="2" t="str">
        <f aca="false">IF($W63="","",INDEX('Flow Curves'!$B$5:$B$11,$W63)*POWER($D63,INDEX('Flow Curves'!$C$5:$C$11,$W63)))</f>
        <v/>
      </c>
      <c r="Z63" s="2" t="str">
        <f aca="false">IF($W63="","",INDEX('Flow Curves'!$B$5:$B$11,$X63)*POWER($D63,INDEX('Flow Curves'!$C$5:$C$11,$X63)))</f>
        <v/>
      </c>
    </row>
    <row r="64" customFormat="false" ht="15" hidden="false" customHeight="false" outlineLevel="0" collapsed="false">
      <c r="A64" s="16" t="n">
        <v>57</v>
      </c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8" t="n">
        <f aca="false">IF($O64=0,0,$O64*60*Cost!$D$16*Cost!$D$17*IFERROR(INDEX(Cost!$I$5:$I$11,MATCH($B64,Cost!$H$5:$H$11,0)),0)/Cost!$D$5)</f>
        <v>0</v>
      </c>
      <c r="O64" s="19" t="n">
        <f aca="false">IF($W64="",0,IF(INDEX('Flow Curves'!$A$5:$A$11,$X64)=INDEX('Flow Curves'!$A$5:$A$11,$W64),$Y64,$Y64+($Z64-$Y64)*(MAX(10,MIN(150,$C64))-INDEX('Flow Curves'!$A$5:$A$11,$W64))/(INDEX('Flow Curves'!$A$5:$A$11,$X64)-INDEX('Flow Curves'!$A$5:$A$11,$W64))))</f>
        <v>0</v>
      </c>
      <c r="P64" s="20" t="n">
        <f aca="false">IF(OR($B64="Air",$B64="Open Blow"),$O64*60*Cost!$D$16*Cost!$D$17/Cost!$D$5*Cost!$D$13,0)</f>
        <v>0</v>
      </c>
      <c r="Q64" s="17"/>
      <c r="U64" s="16" t="str">
        <f aca="false">IF($D64="","",IF(ISNA(MATCH($B64,Cost!$H$5:$H$11,0)),"CHECK GAS TYPE",IF(OR($C64&lt;10,$C64&gt;150),"CHECK PRESSURE: outside 10-150 psi table",IF(OR($D64&lt;1,$D64&gt;120),"CHECK dB: outside 1-120 table",IF(ISNA(MATCH($C64,'Flow Curves'!$A$5:$A$11,0)),"INTERPOLATED between curves","Table curve")))))</f>
        <v/>
      </c>
      <c r="W64" s="2" t="str">
        <f aca="false">IF(OR($D64="",$C64=""),"",MATCH(MAX(10,MIN(150,$C64)),'Flow Curves'!$A$5:$A$11,1))</f>
        <v/>
      </c>
      <c r="X64" s="2" t="str">
        <f aca="false">IF($W64="","",MIN($W64+1,7))</f>
        <v/>
      </c>
      <c r="Y64" s="2" t="str">
        <f aca="false">IF($W64="","",INDEX('Flow Curves'!$B$5:$B$11,$W64)*POWER($D64,INDEX('Flow Curves'!$C$5:$C$11,$W64)))</f>
        <v/>
      </c>
      <c r="Z64" s="2" t="str">
        <f aca="false">IF($W64="","",INDEX('Flow Curves'!$B$5:$B$11,$X64)*POWER($D64,INDEX('Flow Curves'!$C$5:$C$11,$X64)))</f>
        <v/>
      </c>
    </row>
    <row r="65" customFormat="false" ht="15" hidden="false" customHeight="false" outlineLevel="0" collapsed="false">
      <c r="A65" s="16" t="n">
        <v>58</v>
      </c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8" t="n">
        <f aca="false">IF($O65=0,0,$O65*60*Cost!$D$16*Cost!$D$17*IFERROR(INDEX(Cost!$I$5:$I$11,MATCH($B65,Cost!$H$5:$H$11,0)),0)/Cost!$D$5)</f>
        <v>0</v>
      </c>
      <c r="O65" s="19" t="n">
        <f aca="false">IF($W65="",0,IF(INDEX('Flow Curves'!$A$5:$A$11,$X65)=INDEX('Flow Curves'!$A$5:$A$11,$W65),$Y65,$Y65+($Z65-$Y65)*(MAX(10,MIN(150,$C65))-INDEX('Flow Curves'!$A$5:$A$11,$W65))/(INDEX('Flow Curves'!$A$5:$A$11,$X65)-INDEX('Flow Curves'!$A$5:$A$11,$W65))))</f>
        <v>0</v>
      </c>
      <c r="P65" s="20" t="n">
        <f aca="false">IF(OR($B65="Air",$B65="Open Blow"),$O65*60*Cost!$D$16*Cost!$D$17/Cost!$D$5*Cost!$D$13,0)</f>
        <v>0</v>
      </c>
      <c r="Q65" s="17"/>
      <c r="U65" s="16" t="str">
        <f aca="false">IF($D65="","",IF(ISNA(MATCH($B65,Cost!$H$5:$H$11,0)),"CHECK GAS TYPE",IF(OR($C65&lt;10,$C65&gt;150),"CHECK PRESSURE: outside 10-150 psi table",IF(OR($D65&lt;1,$D65&gt;120),"CHECK dB: outside 1-120 table",IF(ISNA(MATCH($C65,'Flow Curves'!$A$5:$A$11,0)),"INTERPOLATED between curves","Table curve")))))</f>
        <v/>
      </c>
      <c r="W65" s="2" t="str">
        <f aca="false">IF(OR($D65="",$C65=""),"",MATCH(MAX(10,MIN(150,$C65)),'Flow Curves'!$A$5:$A$11,1))</f>
        <v/>
      </c>
      <c r="X65" s="2" t="str">
        <f aca="false">IF($W65="","",MIN($W65+1,7))</f>
        <v/>
      </c>
      <c r="Y65" s="2" t="str">
        <f aca="false">IF($W65="","",INDEX('Flow Curves'!$B$5:$B$11,$W65)*POWER($D65,INDEX('Flow Curves'!$C$5:$C$11,$W65)))</f>
        <v/>
      </c>
      <c r="Z65" s="2" t="str">
        <f aca="false">IF($W65="","",INDEX('Flow Curves'!$B$5:$B$11,$X65)*POWER($D65,INDEX('Flow Curves'!$C$5:$C$11,$X65)))</f>
        <v/>
      </c>
    </row>
    <row r="66" customFormat="false" ht="15" hidden="false" customHeight="false" outlineLevel="0" collapsed="false">
      <c r="A66" s="16" t="n">
        <v>59</v>
      </c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8" t="n">
        <f aca="false">IF($O66=0,0,$O66*60*Cost!$D$16*Cost!$D$17*IFERROR(INDEX(Cost!$I$5:$I$11,MATCH($B66,Cost!$H$5:$H$11,0)),0)/Cost!$D$5)</f>
        <v>0</v>
      </c>
      <c r="O66" s="19" t="n">
        <f aca="false">IF($W66="",0,IF(INDEX('Flow Curves'!$A$5:$A$11,$X66)=INDEX('Flow Curves'!$A$5:$A$11,$W66),$Y66,$Y66+($Z66-$Y66)*(MAX(10,MIN(150,$C66))-INDEX('Flow Curves'!$A$5:$A$11,$W66))/(INDEX('Flow Curves'!$A$5:$A$11,$X66)-INDEX('Flow Curves'!$A$5:$A$11,$W66))))</f>
        <v>0</v>
      </c>
      <c r="P66" s="20" t="n">
        <f aca="false">IF(OR($B66="Air",$B66="Open Blow"),$O66*60*Cost!$D$16*Cost!$D$17/Cost!$D$5*Cost!$D$13,0)</f>
        <v>0</v>
      </c>
      <c r="Q66" s="17"/>
      <c r="U66" s="16" t="str">
        <f aca="false">IF($D66="","",IF(ISNA(MATCH($B66,Cost!$H$5:$H$11,0)),"CHECK GAS TYPE",IF(OR($C66&lt;10,$C66&gt;150),"CHECK PRESSURE: outside 10-150 psi table",IF(OR($D66&lt;1,$D66&gt;120),"CHECK dB: outside 1-120 table",IF(ISNA(MATCH($C66,'Flow Curves'!$A$5:$A$11,0)),"INTERPOLATED between curves","Table curve")))))</f>
        <v/>
      </c>
      <c r="W66" s="2" t="str">
        <f aca="false">IF(OR($D66="",$C66=""),"",MATCH(MAX(10,MIN(150,$C66)),'Flow Curves'!$A$5:$A$11,1))</f>
        <v/>
      </c>
      <c r="X66" s="2" t="str">
        <f aca="false">IF($W66="","",MIN($W66+1,7))</f>
        <v/>
      </c>
      <c r="Y66" s="2" t="str">
        <f aca="false">IF($W66="","",INDEX('Flow Curves'!$B$5:$B$11,$W66)*POWER($D66,INDEX('Flow Curves'!$C$5:$C$11,$W66)))</f>
        <v/>
      </c>
      <c r="Z66" s="2" t="str">
        <f aca="false">IF($W66="","",INDEX('Flow Curves'!$B$5:$B$11,$X66)*POWER($D66,INDEX('Flow Curves'!$C$5:$C$11,$X66)))</f>
        <v/>
      </c>
    </row>
    <row r="67" customFormat="false" ht="15" hidden="false" customHeight="false" outlineLevel="0" collapsed="false">
      <c r="A67" s="16" t="n">
        <v>60</v>
      </c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8" t="n">
        <f aca="false">IF($O67=0,0,$O67*60*Cost!$D$16*Cost!$D$17*IFERROR(INDEX(Cost!$I$5:$I$11,MATCH($B67,Cost!$H$5:$H$11,0)),0)/Cost!$D$5)</f>
        <v>0</v>
      </c>
      <c r="O67" s="19" t="n">
        <f aca="false">IF($W67="",0,IF(INDEX('Flow Curves'!$A$5:$A$11,$X67)=INDEX('Flow Curves'!$A$5:$A$11,$W67),$Y67,$Y67+($Z67-$Y67)*(MAX(10,MIN(150,$C67))-INDEX('Flow Curves'!$A$5:$A$11,$W67))/(INDEX('Flow Curves'!$A$5:$A$11,$X67)-INDEX('Flow Curves'!$A$5:$A$11,$W67))))</f>
        <v>0</v>
      </c>
      <c r="P67" s="20" t="n">
        <f aca="false">IF(OR($B67="Air",$B67="Open Blow"),$O67*60*Cost!$D$16*Cost!$D$17/Cost!$D$5*Cost!$D$13,0)</f>
        <v>0</v>
      </c>
      <c r="Q67" s="17"/>
      <c r="U67" s="16" t="str">
        <f aca="false">IF($D67="","",IF(ISNA(MATCH($B67,Cost!$H$5:$H$11,0)),"CHECK GAS TYPE",IF(OR($C67&lt;10,$C67&gt;150),"CHECK PRESSURE: outside 10-150 psi table",IF(OR($D67&lt;1,$D67&gt;120),"CHECK dB: outside 1-120 table",IF(ISNA(MATCH($C67,'Flow Curves'!$A$5:$A$11,0)),"INTERPOLATED between curves","Table curve")))))</f>
        <v/>
      </c>
      <c r="W67" s="2" t="str">
        <f aca="false">IF(OR($D67="",$C67=""),"",MATCH(MAX(10,MIN(150,$C67)),'Flow Curves'!$A$5:$A$11,1))</f>
        <v/>
      </c>
      <c r="X67" s="2" t="str">
        <f aca="false">IF($W67="","",MIN($W67+1,7))</f>
        <v/>
      </c>
      <c r="Y67" s="2" t="str">
        <f aca="false">IF($W67="","",INDEX('Flow Curves'!$B$5:$B$11,$W67)*POWER($D67,INDEX('Flow Curves'!$C$5:$C$11,$W67)))</f>
        <v/>
      </c>
      <c r="Z67" s="2" t="str">
        <f aca="false">IF($W67="","",INDEX('Flow Curves'!$B$5:$B$11,$X67)*POWER($D67,INDEX('Flow Curves'!$C$5:$C$11,$X67)))</f>
        <v/>
      </c>
    </row>
    <row r="68" customFormat="false" ht="15" hidden="false" customHeight="false" outlineLevel="0" collapsed="false">
      <c r="A68" s="16" t="n">
        <v>61</v>
      </c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8" t="n">
        <f aca="false">IF($O68=0,0,$O68*60*Cost!$D$16*Cost!$D$17*IFERROR(INDEX(Cost!$I$5:$I$11,MATCH($B68,Cost!$H$5:$H$11,0)),0)/Cost!$D$5)</f>
        <v>0</v>
      </c>
      <c r="O68" s="19" t="n">
        <f aca="false">IF($W68="",0,IF(INDEX('Flow Curves'!$A$5:$A$11,$X68)=INDEX('Flow Curves'!$A$5:$A$11,$W68),$Y68,$Y68+($Z68-$Y68)*(MAX(10,MIN(150,$C68))-INDEX('Flow Curves'!$A$5:$A$11,$W68))/(INDEX('Flow Curves'!$A$5:$A$11,$X68)-INDEX('Flow Curves'!$A$5:$A$11,$W68))))</f>
        <v>0</v>
      </c>
      <c r="P68" s="20" t="n">
        <f aca="false">IF(OR($B68="Air",$B68="Open Blow"),$O68*60*Cost!$D$16*Cost!$D$17/Cost!$D$5*Cost!$D$13,0)</f>
        <v>0</v>
      </c>
      <c r="Q68" s="17"/>
      <c r="U68" s="16" t="str">
        <f aca="false">IF($D68="","",IF(ISNA(MATCH($B68,Cost!$H$5:$H$11,0)),"CHECK GAS TYPE",IF(OR($C68&lt;10,$C68&gt;150),"CHECK PRESSURE: outside 10-150 psi table",IF(OR($D68&lt;1,$D68&gt;120),"CHECK dB: outside 1-120 table",IF(ISNA(MATCH($C68,'Flow Curves'!$A$5:$A$11,0)),"INTERPOLATED between curves","Table curve")))))</f>
        <v/>
      </c>
      <c r="W68" s="2" t="str">
        <f aca="false">IF(OR($D68="",$C68=""),"",MATCH(MAX(10,MIN(150,$C68)),'Flow Curves'!$A$5:$A$11,1))</f>
        <v/>
      </c>
      <c r="X68" s="2" t="str">
        <f aca="false">IF($W68="","",MIN($W68+1,7))</f>
        <v/>
      </c>
      <c r="Y68" s="2" t="str">
        <f aca="false">IF($W68="","",INDEX('Flow Curves'!$B$5:$B$11,$W68)*POWER($D68,INDEX('Flow Curves'!$C$5:$C$11,$W68)))</f>
        <v/>
      </c>
      <c r="Z68" s="2" t="str">
        <f aca="false">IF($W68="","",INDEX('Flow Curves'!$B$5:$B$11,$X68)*POWER($D68,INDEX('Flow Curves'!$C$5:$C$11,$X68)))</f>
        <v/>
      </c>
    </row>
    <row r="69" customFormat="false" ht="15" hidden="false" customHeight="false" outlineLevel="0" collapsed="false">
      <c r="A69" s="16" t="n">
        <v>62</v>
      </c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8" t="n">
        <f aca="false">IF($O69=0,0,$O69*60*Cost!$D$16*Cost!$D$17*IFERROR(INDEX(Cost!$I$5:$I$11,MATCH($B69,Cost!$H$5:$H$11,0)),0)/Cost!$D$5)</f>
        <v>0</v>
      </c>
      <c r="O69" s="19" t="n">
        <f aca="false">IF($W69="",0,IF(INDEX('Flow Curves'!$A$5:$A$11,$X69)=INDEX('Flow Curves'!$A$5:$A$11,$W69),$Y69,$Y69+($Z69-$Y69)*(MAX(10,MIN(150,$C69))-INDEX('Flow Curves'!$A$5:$A$11,$W69))/(INDEX('Flow Curves'!$A$5:$A$11,$X69)-INDEX('Flow Curves'!$A$5:$A$11,$W69))))</f>
        <v>0</v>
      </c>
      <c r="P69" s="20" t="n">
        <f aca="false">IF(OR($B69="Air",$B69="Open Blow"),$O69*60*Cost!$D$16*Cost!$D$17/Cost!$D$5*Cost!$D$13,0)</f>
        <v>0</v>
      </c>
      <c r="Q69" s="17"/>
      <c r="U69" s="16" t="str">
        <f aca="false">IF($D69="","",IF(ISNA(MATCH($B69,Cost!$H$5:$H$11,0)),"CHECK GAS TYPE",IF(OR($C69&lt;10,$C69&gt;150),"CHECK PRESSURE: outside 10-150 psi table",IF(OR($D69&lt;1,$D69&gt;120),"CHECK dB: outside 1-120 table",IF(ISNA(MATCH($C69,'Flow Curves'!$A$5:$A$11,0)),"INTERPOLATED between curves","Table curve")))))</f>
        <v/>
      </c>
      <c r="W69" s="2" t="str">
        <f aca="false">IF(OR($D69="",$C69=""),"",MATCH(MAX(10,MIN(150,$C69)),'Flow Curves'!$A$5:$A$11,1))</f>
        <v/>
      </c>
      <c r="X69" s="2" t="str">
        <f aca="false">IF($W69="","",MIN($W69+1,7))</f>
        <v/>
      </c>
      <c r="Y69" s="2" t="str">
        <f aca="false">IF($W69="","",INDEX('Flow Curves'!$B$5:$B$11,$W69)*POWER($D69,INDEX('Flow Curves'!$C$5:$C$11,$W69)))</f>
        <v/>
      </c>
      <c r="Z69" s="2" t="str">
        <f aca="false">IF($W69="","",INDEX('Flow Curves'!$B$5:$B$11,$X69)*POWER($D69,INDEX('Flow Curves'!$C$5:$C$11,$X69)))</f>
        <v/>
      </c>
    </row>
    <row r="70" customFormat="false" ht="15" hidden="false" customHeight="false" outlineLevel="0" collapsed="false">
      <c r="A70" s="16" t="n">
        <v>63</v>
      </c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8" t="n">
        <f aca="false">IF($O70=0,0,$O70*60*Cost!$D$16*Cost!$D$17*IFERROR(INDEX(Cost!$I$5:$I$11,MATCH($B70,Cost!$H$5:$H$11,0)),0)/Cost!$D$5)</f>
        <v>0</v>
      </c>
      <c r="O70" s="19" t="n">
        <f aca="false">IF($W70="",0,IF(INDEX('Flow Curves'!$A$5:$A$11,$X70)=INDEX('Flow Curves'!$A$5:$A$11,$W70),$Y70,$Y70+($Z70-$Y70)*(MAX(10,MIN(150,$C70))-INDEX('Flow Curves'!$A$5:$A$11,$W70))/(INDEX('Flow Curves'!$A$5:$A$11,$X70)-INDEX('Flow Curves'!$A$5:$A$11,$W70))))</f>
        <v>0</v>
      </c>
      <c r="P70" s="20" t="n">
        <f aca="false">IF(OR($B70="Air",$B70="Open Blow"),$O70*60*Cost!$D$16*Cost!$D$17/Cost!$D$5*Cost!$D$13,0)</f>
        <v>0</v>
      </c>
      <c r="Q70" s="17"/>
      <c r="U70" s="16" t="str">
        <f aca="false">IF($D70="","",IF(ISNA(MATCH($B70,Cost!$H$5:$H$11,0)),"CHECK GAS TYPE",IF(OR($C70&lt;10,$C70&gt;150),"CHECK PRESSURE: outside 10-150 psi table",IF(OR($D70&lt;1,$D70&gt;120),"CHECK dB: outside 1-120 table",IF(ISNA(MATCH($C70,'Flow Curves'!$A$5:$A$11,0)),"INTERPOLATED between curves","Table curve")))))</f>
        <v/>
      </c>
      <c r="W70" s="2" t="str">
        <f aca="false">IF(OR($D70="",$C70=""),"",MATCH(MAX(10,MIN(150,$C70)),'Flow Curves'!$A$5:$A$11,1))</f>
        <v/>
      </c>
      <c r="X70" s="2" t="str">
        <f aca="false">IF($W70="","",MIN($W70+1,7))</f>
        <v/>
      </c>
      <c r="Y70" s="2" t="str">
        <f aca="false">IF($W70="","",INDEX('Flow Curves'!$B$5:$B$11,$W70)*POWER($D70,INDEX('Flow Curves'!$C$5:$C$11,$W70)))</f>
        <v/>
      </c>
      <c r="Z70" s="2" t="str">
        <f aca="false">IF($W70="","",INDEX('Flow Curves'!$B$5:$B$11,$X70)*POWER($D70,INDEX('Flow Curves'!$C$5:$C$11,$X70)))</f>
        <v/>
      </c>
    </row>
    <row r="71" customFormat="false" ht="15" hidden="false" customHeight="false" outlineLevel="0" collapsed="false">
      <c r="A71" s="16" t="n">
        <v>64</v>
      </c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8" t="n">
        <f aca="false">IF($O71=0,0,$O71*60*Cost!$D$16*Cost!$D$17*IFERROR(INDEX(Cost!$I$5:$I$11,MATCH($B71,Cost!$H$5:$H$11,0)),0)/Cost!$D$5)</f>
        <v>0</v>
      </c>
      <c r="O71" s="19" t="n">
        <f aca="false">IF($W71="",0,IF(INDEX('Flow Curves'!$A$5:$A$11,$X71)=INDEX('Flow Curves'!$A$5:$A$11,$W71),$Y71,$Y71+($Z71-$Y71)*(MAX(10,MIN(150,$C71))-INDEX('Flow Curves'!$A$5:$A$11,$W71))/(INDEX('Flow Curves'!$A$5:$A$11,$X71)-INDEX('Flow Curves'!$A$5:$A$11,$W71))))</f>
        <v>0</v>
      </c>
      <c r="P71" s="20" t="n">
        <f aca="false">IF(OR($B71="Air",$B71="Open Blow"),$O71*60*Cost!$D$16*Cost!$D$17/Cost!$D$5*Cost!$D$13,0)</f>
        <v>0</v>
      </c>
      <c r="Q71" s="17"/>
      <c r="U71" s="16" t="str">
        <f aca="false">IF($D71="","",IF(ISNA(MATCH($B71,Cost!$H$5:$H$11,0)),"CHECK GAS TYPE",IF(OR($C71&lt;10,$C71&gt;150),"CHECK PRESSURE: outside 10-150 psi table",IF(OR($D71&lt;1,$D71&gt;120),"CHECK dB: outside 1-120 table",IF(ISNA(MATCH($C71,'Flow Curves'!$A$5:$A$11,0)),"INTERPOLATED between curves","Table curve")))))</f>
        <v/>
      </c>
      <c r="W71" s="2" t="str">
        <f aca="false">IF(OR($D71="",$C71=""),"",MATCH(MAX(10,MIN(150,$C71)),'Flow Curves'!$A$5:$A$11,1))</f>
        <v/>
      </c>
      <c r="X71" s="2" t="str">
        <f aca="false">IF($W71="","",MIN($W71+1,7))</f>
        <v/>
      </c>
      <c r="Y71" s="2" t="str">
        <f aca="false">IF($W71="","",INDEX('Flow Curves'!$B$5:$B$11,$W71)*POWER($D71,INDEX('Flow Curves'!$C$5:$C$11,$W71)))</f>
        <v/>
      </c>
      <c r="Z71" s="2" t="str">
        <f aca="false">IF($W71="","",INDEX('Flow Curves'!$B$5:$B$11,$X71)*POWER($D71,INDEX('Flow Curves'!$C$5:$C$11,$X71)))</f>
        <v/>
      </c>
    </row>
    <row r="72" customFormat="false" ht="15" hidden="false" customHeight="false" outlineLevel="0" collapsed="false">
      <c r="A72" s="16" t="n">
        <v>65</v>
      </c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8" t="n">
        <f aca="false">IF($O72=0,0,$O72*60*Cost!$D$16*Cost!$D$17*IFERROR(INDEX(Cost!$I$5:$I$11,MATCH($B72,Cost!$H$5:$H$11,0)),0)/Cost!$D$5)</f>
        <v>0</v>
      </c>
      <c r="O72" s="19" t="n">
        <f aca="false">IF($W72="",0,IF(INDEX('Flow Curves'!$A$5:$A$11,$X72)=INDEX('Flow Curves'!$A$5:$A$11,$W72),$Y72,$Y72+($Z72-$Y72)*(MAX(10,MIN(150,$C72))-INDEX('Flow Curves'!$A$5:$A$11,$W72))/(INDEX('Flow Curves'!$A$5:$A$11,$X72)-INDEX('Flow Curves'!$A$5:$A$11,$W72))))</f>
        <v>0</v>
      </c>
      <c r="P72" s="20" t="n">
        <f aca="false">IF(OR($B72="Air",$B72="Open Blow"),$O72*60*Cost!$D$16*Cost!$D$17/Cost!$D$5*Cost!$D$13,0)</f>
        <v>0</v>
      </c>
      <c r="Q72" s="17"/>
      <c r="U72" s="16" t="str">
        <f aca="false">IF($D72="","",IF(ISNA(MATCH($B72,Cost!$H$5:$H$11,0)),"CHECK GAS TYPE",IF(OR($C72&lt;10,$C72&gt;150),"CHECK PRESSURE: outside 10-150 psi table",IF(OR($D72&lt;1,$D72&gt;120),"CHECK dB: outside 1-120 table",IF(ISNA(MATCH($C72,'Flow Curves'!$A$5:$A$11,0)),"INTERPOLATED between curves","Table curve")))))</f>
        <v/>
      </c>
      <c r="W72" s="2" t="str">
        <f aca="false">IF(OR($D72="",$C72=""),"",MATCH(MAX(10,MIN(150,$C72)),'Flow Curves'!$A$5:$A$11,1))</f>
        <v/>
      </c>
      <c r="X72" s="2" t="str">
        <f aca="false">IF($W72="","",MIN($W72+1,7))</f>
        <v/>
      </c>
      <c r="Y72" s="2" t="str">
        <f aca="false">IF($W72="","",INDEX('Flow Curves'!$B$5:$B$11,$W72)*POWER($D72,INDEX('Flow Curves'!$C$5:$C$11,$W72)))</f>
        <v/>
      </c>
      <c r="Z72" s="2" t="str">
        <f aca="false">IF($W72="","",INDEX('Flow Curves'!$B$5:$B$11,$X72)*POWER($D72,INDEX('Flow Curves'!$C$5:$C$11,$X72)))</f>
        <v/>
      </c>
    </row>
    <row r="73" customFormat="false" ht="15" hidden="false" customHeight="false" outlineLevel="0" collapsed="false">
      <c r="A73" s="16" t="n">
        <v>66</v>
      </c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8" t="n">
        <f aca="false">IF($O73=0,0,$O73*60*Cost!$D$16*Cost!$D$17*IFERROR(INDEX(Cost!$I$5:$I$11,MATCH($B73,Cost!$H$5:$H$11,0)),0)/Cost!$D$5)</f>
        <v>0</v>
      </c>
      <c r="O73" s="19" t="n">
        <f aca="false">IF($W73="",0,IF(INDEX('Flow Curves'!$A$5:$A$11,$X73)=INDEX('Flow Curves'!$A$5:$A$11,$W73),$Y73,$Y73+($Z73-$Y73)*(MAX(10,MIN(150,$C73))-INDEX('Flow Curves'!$A$5:$A$11,$W73))/(INDEX('Flow Curves'!$A$5:$A$11,$X73)-INDEX('Flow Curves'!$A$5:$A$11,$W73))))</f>
        <v>0</v>
      </c>
      <c r="P73" s="20" t="n">
        <f aca="false">IF(OR($B73="Air",$B73="Open Blow"),$O73*60*Cost!$D$16*Cost!$D$17/Cost!$D$5*Cost!$D$13,0)</f>
        <v>0</v>
      </c>
      <c r="Q73" s="17"/>
      <c r="U73" s="16" t="str">
        <f aca="false">IF($D73="","",IF(ISNA(MATCH($B73,Cost!$H$5:$H$11,0)),"CHECK GAS TYPE",IF(OR($C73&lt;10,$C73&gt;150),"CHECK PRESSURE: outside 10-150 psi table",IF(OR($D73&lt;1,$D73&gt;120),"CHECK dB: outside 1-120 table",IF(ISNA(MATCH($C73,'Flow Curves'!$A$5:$A$11,0)),"INTERPOLATED between curves","Table curve")))))</f>
        <v/>
      </c>
      <c r="W73" s="2" t="str">
        <f aca="false">IF(OR($D73="",$C73=""),"",MATCH(MAX(10,MIN(150,$C73)),'Flow Curves'!$A$5:$A$11,1))</f>
        <v/>
      </c>
      <c r="X73" s="2" t="str">
        <f aca="false">IF($W73="","",MIN($W73+1,7))</f>
        <v/>
      </c>
      <c r="Y73" s="2" t="str">
        <f aca="false">IF($W73="","",INDEX('Flow Curves'!$B$5:$B$11,$W73)*POWER($D73,INDEX('Flow Curves'!$C$5:$C$11,$W73)))</f>
        <v/>
      </c>
      <c r="Z73" s="2" t="str">
        <f aca="false">IF($W73="","",INDEX('Flow Curves'!$B$5:$B$11,$X73)*POWER($D73,INDEX('Flow Curves'!$C$5:$C$11,$X73)))</f>
        <v/>
      </c>
    </row>
    <row r="74" customFormat="false" ht="15" hidden="false" customHeight="false" outlineLevel="0" collapsed="false">
      <c r="A74" s="16" t="n">
        <v>67</v>
      </c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8" t="n">
        <f aca="false">IF($O74=0,0,$O74*60*Cost!$D$16*Cost!$D$17*IFERROR(INDEX(Cost!$I$5:$I$11,MATCH($B74,Cost!$H$5:$H$11,0)),0)/Cost!$D$5)</f>
        <v>0</v>
      </c>
      <c r="O74" s="19" t="n">
        <f aca="false">IF($W74="",0,IF(INDEX('Flow Curves'!$A$5:$A$11,$X74)=INDEX('Flow Curves'!$A$5:$A$11,$W74),$Y74,$Y74+($Z74-$Y74)*(MAX(10,MIN(150,$C74))-INDEX('Flow Curves'!$A$5:$A$11,$W74))/(INDEX('Flow Curves'!$A$5:$A$11,$X74)-INDEX('Flow Curves'!$A$5:$A$11,$W74))))</f>
        <v>0</v>
      </c>
      <c r="P74" s="20" t="n">
        <f aca="false">IF(OR($B74="Air",$B74="Open Blow"),$O74*60*Cost!$D$16*Cost!$D$17/Cost!$D$5*Cost!$D$13,0)</f>
        <v>0</v>
      </c>
      <c r="Q74" s="17"/>
      <c r="U74" s="16" t="str">
        <f aca="false">IF($D74="","",IF(ISNA(MATCH($B74,Cost!$H$5:$H$11,0)),"CHECK GAS TYPE",IF(OR($C74&lt;10,$C74&gt;150),"CHECK PRESSURE: outside 10-150 psi table",IF(OR($D74&lt;1,$D74&gt;120),"CHECK dB: outside 1-120 table",IF(ISNA(MATCH($C74,'Flow Curves'!$A$5:$A$11,0)),"INTERPOLATED between curves","Table curve")))))</f>
        <v/>
      </c>
      <c r="W74" s="2" t="str">
        <f aca="false">IF(OR($D74="",$C74=""),"",MATCH(MAX(10,MIN(150,$C74)),'Flow Curves'!$A$5:$A$11,1))</f>
        <v/>
      </c>
      <c r="X74" s="2" t="str">
        <f aca="false">IF($W74="","",MIN($W74+1,7))</f>
        <v/>
      </c>
      <c r="Y74" s="2" t="str">
        <f aca="false">IF($W74="","",INDEX('Flow Curves'!$B$5:$B$11,$W74)*POWER($D74,INDEX('Flow Curves'!$C$5:$C$11,$W74)))</f>
        <v/>
      </c>
      <c r="Z74" s="2" t="str">
        <f aca="false">IF($W74="","",INDEX('Flow Curves'!$B$5:$B$11,$X74)*POWER($D74,INDEX('Flow Curves'!$C$5:$C$11,$X74)))</f>
        <v/>
      </c>
    </row>
    <row r="75" customFormat="false" ht="15" hidden="false" customHeight="false" outlineLevel="0" collapsed="false">
      <c r="A75" s="16" t="n">
        <v>68</v>
      </c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8" t="n">
        <f aca="false">IF($O75=0,0,$O75*60*Cost!$D$16*Cost!$D$17*IFERROR(INDEX(Cost!$I$5:$I$11,MATCH($B75,Cost!$H$5:$H$11,0)),0)/Cost!$D$5)</f>
        <v>0</v>
      </c>
      <c r="O75" s="19" t="n">
        <f aca="false">IF($W75="",0,IF(INDEX('Flow Curves'!$A$5:$A$11,$X75)=INDEX('Flow Curves'!$A$5:$A$11,$W75),$Y75,$Y75+($Z75-$Y75)*(MAX(10,MIN(150,$C75))-INDEX('Flow Curves'!$A$5:$A$11,$W75))/(INDEX('Flow Curves'!$A$5:$A$11,$X75)-INDEX('Flow Curves'!$A$5:$A$11,$W75))))</f>
        <v>0</v>
      </c>
      <c r="P75" s="20" t="n">
        <f aca="false">IF(OR($B75="Air",$B75="Open Blow"),$O75*60*Cost!$D$16*Cost!$D$17/Cost!$D$5*Cost!$D$13,0)</f>
        <v>0</v>
      </c>
      <c r="Q75" s="17"/>
      <c r="U75" s="16" t="str">
        <f aca="false">IF($D75="","",IF(ISNA(MATCH($B75,Cost!$H$5:$H$11,0)),"CHECK GAS TYPE",IF(OR($C75&lt;10,$C75&gt;150),"CHECK PRESSURE: outside 10-150 psi table",IF(OR($D75&lt;1,$D75&gt;120),"CHECK dB: outside 1-120 table",IF(ISNA(MATCH($C75,'Flow Curves'!$A$5:$A$11,0)),"INTERPOLATED between curves","Table curve")))))</f>
        <v/>
      </c>
      <c r="W75" s="2" t="str">
        <f aca="false">IF(OR($D75="",$C75=""),"",MATCH(MAX(10,MIN(150,$C75)),'Flow Curves'!$A$5:$A$11,1))</f>
        <v/>
      </c>
      <c r="X75" s="2" t="str">
        <f aca="false">IF($W75="","",MIN($W75+1,7))</f>
        <v/>
      </c>
      <c r="Y75" s="2" t="str">
        <f aca="false">IF($W75="","",INDEX('Flow Curves'!$B$5:$B$11,$W75)*POWER($D75,INDEX('Flow Curves'!$C$5:$C$11,$W75)))</f>
        <v/>
      </c>
      <c r="Z75" s="2" t="str">
        <f aca="false">IF($W75="","",INDEX('Flow Curves'!$B$5:$B$11,$X75)*POWER($D75,INDEX('Flow Curves'!$C$5:$C$11,$X75)))</f>
        <v/>
      </c>
    </row>
    <row r="76" customFormat="false" ht="15" hidden="false" customHeight="false" outlineLevel="0" collapsed="false">
      <c r="A76" s="16" t="n">
        <v>69</v>
      </c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8" t="n">
        <f aca="false">IF($O76=0,0,$O76*60*Cost!$D$16*Cost!$D$17*IFERROR(INDEX(Cost!$I$5:$I$11,MATCH($B76,Cost!$H$5:$H$11,0)),0)/Cost!$D$5)</f>
        <v>0</v>
      </c>
      <c r="O76" s="19" t="n">
        <f aca="false">IF($W76="",0,IF(INDEX('Flow Curves'!$A$5:$A$11,$X76)=INDEX('Flow Curves'!$A$5:$A$11,$W76),$Y76,$Y76+($Z76-$Y76)*(MAX(10,MIN(150,$C76))-INDEX('Flow Curves'!$A$5:$A$11,$W76))/(INDEX('Flow Curves'!$A$5:$A$11,$X76)-INDEX('Flow Curves'!$A$5:$A$11,$W76))))</f>
        <v>0</v>
      </c>
      <c r="P76" s="20" t="n">
        <f aca="false">IF(OR($B76="Air",$B76="Open Blow"),$O76*60*Cost!$D$16*Cost!$D$17/Cost!$D$5*Cost!$D$13,0)</f>
        <v>0</v>
      </c>
      <c r="Q76" s="17"/>
      <c r="U76" s="16" t="str">
        <f aca="false">IF($D76="","",IF(ISNA(MATCH($B76,Cost!$H$5:$H$11,0)),"CHECK GAS TYPE",IF(OR($C76&lt;10,$C76&gt;150),"CHECK PRESSURE: outside 10-150 psi table",IF(OR($D76&lt;1,$D76&gt;120),"CHECK dB: outside 1-120 table",IF(ISNA(MATCH($C76,'Flow Curves'!$A$5:$A$11,0)),"INTERPOLATED between curves","Table curve")))))</f>
        <v/>
      </c>
      <c r="W76" s="2" t="str">
        <f aca="false">IF(OR($D76="",$C76=""),"",MATCH(MAX(10,MIN(150,$C76)),'Flow Curves'!$A$5:$A$11,1))</f>
        <v/>
      </c>
      <c r="X76" s="2" t="str">
        <f aca="false">IF($W76="","",MIN($W76+1,7))</f>
        <v/>
      </c>
      <c r="Y76" s="2" t="str">
        <f aca="false">IF($W76="","",INDEX('Flow Curves'!$B$5:$B$11,$W76)*POWER($D76,INDEX('Flow Curves'!$C$5:$C$11,$W76)))</f>
        <v/>
      </c>
      <c r="Z76" s="2" t="str">
        <f aca="false">IF($W76="","",INDEX('Flow Curves'!$B$5:$B$11,$X76)*POWER($D76,INDEX('Flow Curves'!$C$5:$C$11,$X76)))</f>
        <v/>
      </c>
    </row>
    <row r="77" customFormat="false" ht="15" hidden="false" customHeight="false" outlineLevel="0" collapsed="false">
      <c r="A77" s="16" t="n">
        <v>70</v>
      </c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8" t="n">
        <f aca="false">IF($O77=0,0,$O77*60*Cost!$D$16*Cost!$D$17*IFERROR(INDEX(Cost!$I$5:$I$11,MATCH($B77,Cost!$H$5:$H$11,0)),0)/Cost!$D$5)</f>
        <v>0</v>
      </c>
      <c r="O77" s="19" t="n">
        <f aca="false">IF($W77="",0,IF(INDEX('Flow Curves'!$A$5:$A$11,$X77)=INDEX('Flow Curves'!$A$5:$A$11,$W77),$Y77,$Y77+($Z77-$Y77)*(MAX(10,MIN(150,$C77))-INDEX('Flow Curves'!$A$5:$A$11,$W77))/(INDEX('Flow Curves'!$A$5:$A$11,$X77)-INDEX('Flow Curves'!$A$5:$A$11,$W77))))</f>
        <v>0</v>
      </c>
      <c r="P77" s="20" t="n">
        <f aca="false">IF(OR($B77="Air",$B77="Open Blow"),$O77*60*Cost!$D$16*Cost!$D$17/Cost!$D$5*Cost!$D$13,0)</f>
        <v>0</v>
      </c>
      <c r="Q77" s="17"/>
      <c r="U77" s="16" t="str">
        <f aca="false">IF($D77="","",IF(ISNA(MATCH($B77,Cost!$H$5:$H$11,0)),"CHECK GAS TYPE",IF(OR($C77&lt;10,$C77&gt;150),"CHECK PRESSURE: outside 10-150 psi table",IF(OR($D77&lt;1,$D77&gt;120),"CHECK dB: outside 1-120 table",IF(ISNA(MATCH($C77,'Flow Curves'!$A$5:$A$11,0)),"INTERPOLATED between curves","Table curve")))))</f>
        <v/>
      </c>
      <c r="W77" s="2" t="str">
        <f aca="false">IF(OR($D77="",$C77=""),"",MATCH(MAX(10,MIN(150,$C77)),'Flow Curves'!$A$5:$A$11,1))</f>
        <v/>
      </c>
      <c r="X77" s="2" t="str">
        <f aca="false">IF($W77="","",MIN($W77+1,7))</f>
        <v/>
      </c>
      <c r="Y77" s="2" t="str">
        <f aca="false">IF($W77="","",INDEX('Flow Curves'!$B$5:$B$11,$W77)*POWER($D77,INDEX('Flow Curves'!$C$5:$C$11,$W77)))</f>
        <v/>
      </c>
      <c r="Z77" s="2" t="str">
        <f aca="false">IF($W77="","",INDEX('Flow Curves'!$B$5:$B$11,$X77)*POWER($D77,INDEX('Flow Curves'!$C$5:$C$11,$X77)))</f>
        <v/>
      </c>
    </row>
    <row r="78" customFormat="false" ht="15" hidden="false" customHeight="false" outlineLevel="0" collapsed="false">
      <c r="A78" s="16" t="n">
        <v>71</v>
      </c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8" t="n">
        <f aca="false">IF($O78=0,0,$O78*60*Cost!$D$16*Cost!$D$17*IFERROR(INDEX(Cost!$I$5:$I$11,MATCH($B78,Cost!$H$5:$H$11,0)),0)/Cost!$D$5)</f>
        <v>0</v>
      </c>
      <c r="O78" s="19" t="n">
        <f aca="false">IF($W78="",0,IF(INDEX('Flow Curves'!$A$5:$A$11,$X78)=INDEX('Flow Curves'!$A$5:$A$11,$W78),$Y78,$Y78+($Z78-$Y78)*(MAX(10,MIN(150,$C78))-INDEX('Flow Curves'!$A$5:$A$11,$W78))/(INDEX('Flow Curves'!$A$5:$A$11,$X78)-INDEX('Flow Curves'!$A$5:$A$11,$W78))))</f>
        <v>0</v>
      </c>
      <c r="P78" s="20" t="n">
        <f aca="false">IF(OR($B78="Air",$B78="Open Blow"),$O78*60*Cost!$D$16*Cost!$D$17/Cost!$D$5*Cost!$D$13,0)</f>
        <v>0</v>
      </c>
      <c r="Q78" s="17"/>
      <c r="U78" s="16" t="str">
        <f aca="false">IF($D78="","",IF(ISNA(MATCH($B78,Cost!$H$5:$H$11,0)),"CHECK GAS TYPE",IF(OR($C78&lt;10,$C78&gt;150),"CHECK PRESSURE: outside 10-150 psi table",IF(OR($D78&lt;1,$D78&gt;120),"CHECK dB: outside 1-120 table",IF(ISNA(MATCH($C78,'Flow Curves'!$A$5:$A$11,0)),"INTERPOLATED between curves","Table curve")))))</f>
        <v/>
      </c>
      <c r="W78" s="2" t="str">
        <f aca="false">IF(OR($D78="",$C78=""),"",MATCH(MAX(10,MIN(150,$C78)),'Flow Curves'!$A$5:$A$11,1))</f>
        <v/>
      </c>
      <c r="X78" s="2" t="str">
        <f aca="false">IF($W78="","",MIN($W78+1,7))</f>
        <v/>
      </c>
      <c r="Y78" s="2" t="str">
        <f aca="false">IF($W78="","",INDEX('Flow Curves'!$B$5:$B$11,$W78)*POWER($D78,INDEX('Flow Curves'!$C$5:$C$11,$W78)))</f>
        <v/>
      </c>
      <c r="Z78" s="2" t="str">
        <f aca="false">IF($W78="","",INDEX('Flow Curves'!$B$5:$B$11,$X78)*POWER($D78,INDEX('Flow Curves'!$C$5:$C$11,$X78)))</f>
        <v/>
      </c>
    </row>
    <row r="79" customFormat="false" ht="15" hidden="false" customHeight="false" outlineLevel="0" collapsed="false">
      <c r="A79" s="16" t="n">
        <v>72</v>
      </c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8" t="n">
        <f aca="false">IF($O79=0,0,$O79*60*Cost!$D$16*Cost!$D$17*IFERROR(INDEX(Cost!$I$5:$I$11,MATCH($B79,Cost!$H$5:$H$11,0)),0)/Cost!$D$5)</f>
        <v>0</v>
      </c>
      <c r="O79" s="19" t="n">
        <f aca="false">IF($W79="",0,IF(INDEX('Flow Curves'!$A$5:$A$11,$X79)=INDEX('Flow Curves'!$A$5:$A$11,$W79),$Y79,$Y79+($Z79-$Y79)*(MAX(10,MIN(150,$C79))-INDEX('Flow Curves'!$A$5:$A$11,$W79))/(INDEX('Flow Curves'!$A$5:$A$11,$X79)-INDEX('Flow Curves'!$A$5:$A$11,$W79))))</f>
        <v>0</v>
      </c>
      <c r="P79" s="20" t="n">
        <f aca="false">IF(OR($B79="Air",$B79="Open Blow"),$O79*60*Cost!$D$16*Cost!$D$17/Cost!$D$5*Cost!$D$13,0)</f>
        <v>0</v>
      </c>
      <c r="Q79" s="17"/>
      <c r="U79" s="16" t="str">
        <f aca="false">IF($D79="","",IF(ISNA(MATCH($B79,Cost!$H$5:$H$11,0)),"CHECK GAS TYPE",IF(OR($C79&lt;10,$C79&gt;150),"CHECK PRESSURE: outside 10-150 psi table",IF(OR($D79&lt;1,$D79&gt;120),"CHECK dB: outside 1-120 table",IF(ISNA(MATCH($C79,'Flow Curves'!$A$5:$A$11,0)),"INTERPOLATED between curves","Table curve")))))</f>
        <v/>
      </c>
      <c r="W79" s="2" t="str">
        <f aca="false">IF(OR($D79="",$C79=""),"",MATCH(MAX(10,MIN(150,$C79)),'Flow Curves'!$A$5:$A$11,1))</f>
        <v/>
      </c>
      <c r="X79" s="2" t="str">
        <f aca="false">IF($W79="","",MIN($W79+1,7))</f>
        <v/>
      </c>
      <c r="Y79" s="2" t="str">
        <f aca="false">IF($W79="","",INDEX('Flow Curves'!$B$5:$B$11,$W79)*POWER($D79,INDEX('Flow Curves'!$C$5:$C$11,$W79)))</f>
        <v/>
      </c>
      <c r="Z79" s="2" t="str">
        <f aca="false">IF($W79="","",INDEX('Flow Curves'!$B$5:$B$11,$X79)*POWER($D79,INDEX('Flow Curves'!$C$5:$C$11,$X79)))</f>
        <v/>
      </c>
    </row>
    <row r="80" customFormat="false" ht="15" hidden="false" customHeight="false" outlineLevel="0" collapsed="false">
      <c r="A80" s="16" t="n">
        <v>73</v>
      </c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8" t="n">
        <f aca="false">IF($O80=0,0,$O80*60*Cost!$D$16*Cost!$D$17*IFERROR(INDEX(Cost!$I$5:$I$11,MATCH($B80,Cost!$H$5:$H$11,0)),0)/Cost!$D$5)</f>
        <v>0</v>
      </c>
      <c r="O80" s="19" t="n">
        <f aca="false">IF($W80="",0,IF(INDEX('Flow Curves'!$A$5:$A$11,$X80)=INDEX('Flow Curves'!$A$5:$A$11,$W80),$Y80,$Y80+($Z80-$Y80)*(MAX(10,MIN(150,$C80))-INDEX('Flow Curves'!$A$5:$A$11,$W80))/(INDEX('Flow Curves'!$A$5:$A$11,$X80)-INDEX('Flow Curves'!$A$5:$A$11,$W80))))</f>
        <v>0</v>
      </c>
      <c r="P80" s="20" t="n">
        <f aca="false">IF(OR($B80="Air",$B80="Open Blow"),$O80*60*Cost!$D$16*Cost!$D$17/Cost!$D$5*Cost!$D$13,0)</f>
        <v>0</v>
      </c>
      <c r="Q80" s="17"/>
      <c r="U80" s="16" t="str">
        <f aca="false">IF($D80="","",IF(ISNA(MATCH($B80,Cost!$H$5:$H$11,0)),"CHECK GAS TYPE",IF(OR($C80&lt;10,$C80&gt;150),"CHECK PRESSURE: outside 10-150 psi table",IF(OR($D80&lt;1,$D80&gt;120),"CHECK dB: outside 1-120 table",IF(ISNA(MATCH($C80,'Flow Curves'!$A$5:$A$11,0)),"INTERPOLATED between curves","Table curve")))))</f>
        <v/>
      </c>
      <c r="W80" s="2" t="str">
        <f aca="false">IF(OR($D80="",$C80=""),"",MATCH(MAX(10,MIN(150,$C80)),'Flow Curves'!$A$5:$A$11,1))</f>
        <v/>
      </c>
      <c r="X80" s="2" t="str">
        <f aca="false">IF($W80="","",MIN($W80+1,7))</f>
        <v/>
      </c>
      <c r="Y80" s="2" t="str">
        <f aca="false">IF($W80="","",INDEX('Flow Curves'!$B$5:$B$11,$W80)*POWER($D80,INDEX('Flow Curves'!$C$5:$C$11,$W80)))</f>
        <v/>
      </c>
      <c r="Z80" s="2" t="str">
        <f aca="false">IF($W80="","",INDEX('Flow Curves'!$B$5:$B$11,$X80)*POWER($D80,INDEX('Flow Curves'!$C$5:$C$11,$X80)))</f>
        <v/>
      </c>
    </row>
    <row r="81" customFormat="false" ht="15" hidden="false" customHeight="false" outlineLevel="0" collapsed="false">
      <c r="A81" s="16" t="n">
        <v>74</v>
      </c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8" t="n">
        <f aca="false">IF($O81=0,0,$O81*60*Cost!$D$16*Cost!$D$17*IFERROR(INDEX(Cost!$I$5:$I$11,MATCH($B81,Cost!$H$5:$H$11,0)),0)/Cost!$D$5)</f>
        <v>0</v>
      </c>
      <c r="O81" s="19" t="n">
        <f aca="false">IF($W81="",0,IF(INDEX('Flow Curves'!$A$5:$A$11,$X81)=INDEX('Flow Curves'!$A$5:$A$11,$W81),$Y81,$Y81+($Z81-$Y81)*(MAX(10,MIN(150,$C81))-INDEX('Flow Curves'!$A$5:$A$11,$W81))/(INDEX('Flow Curves'!$A$5:$A$11,$X81)-INDEX('Flow Curves'!$A$5:$A$11,$W81))))</f>
        <v>0</v>
      </c>
      <c r="P81" s="20" t="n">
        <f aca="false">IF(OR($B81="Air",$B81="Open Blow"),$O81*60*Cost!$D$16*Cost!$D$17/Cost!$D$5*Cost!$D$13,0)</f>
        <v>0</v>
      </c>
      <c r="Q81" s="17"/>
      <c r="U81" s="16" t="str">
        <f aca="false">IF($D81="","",IF(ISNA(MATCH($B81,Cost!$H$5:$H$11,0)),"CHECK GAS TYPE",IF(OR($C81&lt;10,$C81&gt;150),"CHECK PRESSURE: outside 10-150 psi table",IF(OR($D81&lt;1,$D81&gt;120),"CHECK dB: outside 1-120 table",IF(ISNA(MATCH($C81,'Flow Curves'!$A$5:$A$11,0)),"INTERPOLATED between curves","Table curve")))))</f>
        <v/>
      </c>
      <c r="W81" s="2" t="str">
        <f aca="false">IF(OR($D81="",$C81=""),"",MATCH(MAX(10,MIN(150,$C81)),'Flow Curves'!$A$5:$A$11,1))</f>
        <v/>
      </c>
      <c r="X81" s="2" t="str">
        <f aca="false">IF($W81="","",MIN($W81+1,7))</f>
        <v/>
      </c>
      <c r="Y81" s="2" t="str">
        <f aca="false">IF($W81="","",INDEX('Flow Curves'!$B$5:$B$11,$W81)*POWER($D81,INDEX('Flow Curves'!$C$5:$C$11,$W81)))</f>
        <v/>
      </c>
      <c r="Z81" s="2" t="str">
        <f aca="false">IF($W81="","",INDEX('Flow Curves'!$B$5:$B$11,$X81)*POWER($D81,INDEX('Flow Curves'!$C$5:$C$11,$X81)))</f>
        <v/>
      </c>
    </row>
    <row r="82" customFormat="false" ht="15" hidden="false" customHeight="false" outlineLevel="0" collapsed="false">
      <c r="A82" s="16" t="n">
        <v>75</v>
      </c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8" t="n">
        <f aca="false">IF($O82=0,0,$O82*60*Cost!$D$16*Cost!$D$17*IFERROR(INDEX(Cost!$I$5:$I$11,MATCH($B82,Cost!$H$5:$H$11,0)),0)/Cost!$D$5)</f>
        <v>0</v>
      </c>
      <c r="O82" s="19" t="n">
        <f aca="false">IF($W82="",0,IF(INDEX('Flow Curves'!$A$5:$A$11,$X82)=INDEX('Flow Curves'!$A$5:$A$11,$W82),$Y82,$Y82+($Z82-$Y82)*(MAX(10,MIN(150,$C82))-INDEX('Flow Curves'!$A$5:$A$11,$W82))/(INDEX('Flow Curves'!$A$5:$A$11,$X82)-INDEX('Flow Curves'!$A$5:$A$11,$W82))))</f>
        <v>0</v>
      </c>
      <c r="P82" s="20" t="n">
        <f aca="false">IF(OR($B82="Air",$B82="Open Blow"),$O82*60*Cost!$D$16*Cost!$D$17/Cost!$D$5*Cost!$D$13,0)</f>
        <v>0</v>
      </c>
      <c r="Q82" s="17"/>
      <c r="U82" s="16" t="str">
        <f aca="false">IF($D82="","",IF(ISNA(MATCH($B82,Cost!$H$5:$H$11,0)),"CHECK GAS TYPE",IF(OR($C82&lt;10,$C82&gt;150),"CHECK PRESSURE: outside 10-150 psi table",IF(OR($D82&lt;1,$D82&gt;120),"CHECK dB: outside 1-120 table",IF(ISNA(MATCH($C82,'Flow Curves'!$A$5:$A$11,0)),"INTERPOLATED between curves","Table curve")))))</f>
        <v/>
      </c>
      <c r="W82" s="2" t="str">
        <f aca="false">IF(OR($D82="",$C82=""),"",MATCH(MAX(10,MIN(150,$C82)),'Flow Curves'!$A$5:$A$11,1))</f>
        <v/>
      </c>
      <c r="X82" s="2" t="str">
        <f aca="false">IF($W82="","",MIN($W82+1,7))</f>
        <v/>
      </c>
      <c r="Y82" s="2" t="str">
        <f aca="false">IF($W82="","",INDEX('Flow Curves'!$B$5:$B$11,$W82)*POWER($D82,INDEX('Flow Curves'!$C$5:$C$11,$W82)))</f>
        <v/>
      </c>
      <c r="Z82" s="2" t="str">
        <f aca="false">IF($W82="","",INDEX('Flow Curves'!$B$5:$B$11,$X82)*POWER($D82,INDEX('Flow Curves'!$C$5:$C$11,$X82)))</f>
        <v/>
      </c>
    </row>
    <row r="83" customFormat="false" ht="15" hidden="false" customHeight="false" outlineLevel="0" collapsed="false">
      <c r="A83" s="16" t="n">
        <v>76</v>
      </c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8" t="n">
        <f aca="false">IF($O83=0,0,$O83*60*Cost!$D$16*Cost!$D$17*IFERROR(INDEX(Cost!$I$5:$I$11,MATCH($B83,Cost!$H$5:$H$11,0)),0)/Cost!$D$5)</f>
        <v>0</v>
      </c>
      <c r="O83" s="19" t="n">
        <f aca="false">IF($W83="",0,IF(INDEX('Flow Curves'!$A$5:$A$11,$X83)=INDEX('Flow Curves'!$A$5:$A$11,$W83),$Y83,$Y83+($Z83-$Y83)*(MAX(10,MIN(150,$C83))-INDEX('Flow Curves'!$A$5:$A$11,$W83))/(INDEX('Flow Curves'!$A$5:$A$11,$X83)-INDEX('Flow Curves'!$A$5:$A$11,$W83))))</f>
        <v>0</v>
      </c>
      <c r="P83" s="20" t="n">
        <f aca="false">IF(OR($B83="Air",$B83="Open Blow"),$O83*60*Cost!$D$16*Cost!$D$17/Cost!$D$5*Cost!$D$13,0)</f>
        <v>0</v>
      </c>
      <c r="Q83" s="17"/>
      <c r="U83" s="16" t="str">
        <f aca="false">IF($D83="","",IF(ISNA(MATCH($B83,Cost!$H$5:$H$11,0)),"CHECK GAS TYPE",IF(OR($C83&lt;10,$C83&gt;150),"CHECK PRESSURE: outside 10-150 psi table",IF(OR($D83&lt;1,$D83&gt;120),"CHECK dB: outside 1-120 table",IF(ISNA(MATCH($C83,'Flow Curves'!$A$5:$A$11,0)),"INTERPOLATED between curves","Table curve")))))</f>
        <v/>
      </c>
      <c r="W83" s="2" t="str">
        <f aca="false">IF(OR($D83="",$C83=""),"",MATCH(MAX(10,MIN(150,$C83)),'Flow Curves'!$A$5:$A$11,1))</f>
        <v/>
      </c>
      <c r="X83" s="2" t="str">
        <f aca="false">IF($W83="","",MIN($W83+1,7))</f>
        <v/>
      </c>
      <c r="Y83" s="2" t="str">
        <f aca="false">IF($W83="","",INDEX('Flow Curves'!$B$5:$B$11,$W83)*POWER($D83,INDEX('Flow Curves'!$C$5:$C$11,$W83)))</f>
        <v/>
      </c>
      <c r="Z83" s="2" t="str">
        <f aca="false">IF($W83="","",INDEX('Flow Curves'!$B$5:$B$11,$X83)*POWER($D83,INDEX('Flow Curves'!$C$5:$C$11,$X83)))</f>
        <v/>
      </c>
    </row>
    <row r="84" customFormat="false" ht="15" hidden="false" customHeight="false" outlineLevel="0" collapsed="false">
      <c r="A84" s="16" t="n">
        <v>77</v>
      </c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8" t="n">
        <f aca="false">IF($O84=0,0,$O84*60*Cost!$D$16*Cost!$D$17*IFERROR(INDEX(Cost!$I$5:$I$11,MATCH($B84,Cost!$H$5:$H$11,0)),0)/Cost!$D$5)</f>
        <v>0</v>
      </c>
      <c r="O84" s="19" t="n">
        <f aca="false">IF($W84="",0,IF(INDEX('Flow Curves'!$A$5:$A$11,$X84)=INDEX('Flow Curves'!$A$5:$A$11,$W84),$Y84,$Y84+($Z84-$Y84)*(MAX(10,MIN(150,$C84))-INDEX('Flow Curves'!$A$5:$A$11,$W84))/(INDEX('Flow Curves'!$A$5:$A$11,$X84)-INDEX('Flow Curves'!$A$5:$A$11,$W84))))</f>
        <v>0</v>
      </c>
      <c r="P84" s="20" t="n">
        <f aca="false">IF(OR($B84="Air",$B84="Open Blow"),$O84*60*Cost!$D$16*Cost!$D$17/Cost!$D$5*Cost!$D$13,0)</f>
        <v>0</v>
      </c>
      <c r="Q84" s="17"/>
      <c r="U84" s="16" t="str">
        <f aca="false">IF($D84="","",IF(ISNA(MATCH($B84,Cost!$H$5:$H$11,0)),"CHECK GAS TYPE",IF(OR($C84&lt;10,$C84&gt;150),"CHECK PRESSURE: outside 10-150 psi table",IF(OR($D84&lt;1,$D84&gt;120),"CHECK dB: outside 1-120 table",IF(ISNA(MATCH($C84,'Flow Curves'!$A$5:$A$11,0)),"INTERPOLATED between curves","Table curve")))))</f>
        <v/>
      </c>
      <c r="W84" s="2" t="str">
        <f aca="false">IF(OR($D84="",$C84=""),"",MATCH(MAX(10,MIN(150,$C84)),'Flow Curves'!$A$5:$A$11,1))</f>
        <v/>
      </c>
      <c r="X84" s="2" t="str">
        <f aca="false">IF($W84="","",MIN($W84+1,7))</f>
        <v/>
      </c>
      <c r="Y84" s="2" t="str">
        <f aca="false">IF($W84="","",INDEX('Flow Curves'!$B$5:$B$11,$W84)*POWER($D84,INDEX('Flow Curves'!$C$5:$C$11,$W84)))</f>
        <v/>
      </c>
      <c r="Z84" s="2" t="str">
        <f aca="false">IF($W84="","",INDEX('Flow Curves'!$B$5:$B$11,$X84)*POWER($D84,INDEX('Flow Curves'!$C$5:$C$11,$X84)))</f>
        <v/>
      </c>
    </row>
    <row r="85" customFormat="false" ht="15" hidden="false" customHeight="false" outlineLevel="0" collapsed="false">
      <c r="A85" s="16" t="n">
        <v>78</v>
      </c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8" t="n">
        <f aca="false">IF($O85=0,0,$O85*60*Cost!$D$16*Cost!$D$17*IFERROR(INDEX(Cost!$I$5:$I$11,MATCH($B85,Cost!$H$5:$H$11,0)),0)/Cost!$D$5)</f>
        <v>0</v>
      </c>
      <c r="O85" s="19" t="n">
        <f aca="false">IF($W85="",0,IF(INDEX('Flow Curves'!$A$5:$A$11,$X85)=INDEX('Flow Curves'!$A$5:$A$11,$W85),$Y85,$Y85+($Z85-$Y85)*(MAX(10,MIN(150,$C85))-INDEX('Flow Curves'!$A$5:$A$11,$W85))/(INDEX('Flow Curves'!$A$5:$A$11,$X85)-INDEX('Flow Curves'!$A$5:$A$11,$W85))))</f>
        <v>0</v>
      </c>
      <c r="P85" s="20" t="n">
        <f aca="false">IF(OR($B85="Air",$B85="Open Blow"),$O85*60*Cost!$D$16*Cost!$D$17/Cost!$D$5*Cost!$D$13,0)</f>
        <v>0</v>
      </c>
      <c r="Q85" s="17"/>
      <c r="U85" s="16" t="str">
        <f aca="false">IF($D85="","",IF(ISNA(MATCH($B85,Cost!$H$5:$H$11,0)),"CHECK GAS TYPE",IF(OR($C85&lt;10,$C85&gt;150),"CHECK PRESSURE: outside 10-150 psi table",IF(OR($D85&lt;1,$D85&gt;120),"CHECK dB: outside 1-120 table",IF(ISNA(MATCH($C85,'Flow Curves'!$A$5:$A$11,0)),"INTERPOLATED between curves","Table curve")))))</f>
        <v/>
      </c>
      <c r="W85" s="2" t="str">
        <f aca="false">IF(OR($D85="",$C85=""),"",MATCH(MAX(10,MIN(150,$C85)),'Flow Curves'!$A$5:$A$11,1))</f>
        <v/>
      </c>
      <c r="X85" s="2" t="str">
        <f aca="false">IF($W85="","",MIN($W85+1,7))</f>
        <v/>
      </c>
      <c r="Y85" s="2" t="str">
        <f aca="false">IF($W85="","",INDEX('Flow Curves'!$B$5:$B$11,$W85)*POWER($D85,INDEX('Flow Curves'!$C$5:$C$11,$W85)))</f>
        <v/>
      </c>
      <c r="Z85" s="2" t="str">
        <f aca="false">IF($W85="","",INDEX('Flow Curves'!$B$5:$B$11,$X85)*POWER($D85,INDEX('Flow Curves'!$C$5:$C$11,$X85)))</f>
        <v/>
      </c>
    </row>
    <row r="86" customFormat="false" ht="15" hidden="false" customHeight="false" outlineLevel="0" collapsed="false">
      <c r="A86" s="16" t="n">
        <v>79</v>
      </c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8" t="n">
        <f aca="false">IF($O86=0,0,$O86*60*Cost!$D$16*Cost!$D$17*IFERROR(INDEX(Cost!$I$5:$I$11,MATCH($B86,Cost!$H$5:$H$11,0)),0)/Cost!$D$5)</f>
        <v>0</v>
      </c>
      <c r="O86" s="19" t="n">
        <f aca="false">IF($W86="",0,IF(INDEX('Flow Curves'!$A$5:$A$11,$X86)=INDEX('Flow Curves'!$A$5:$A$11,$W86),$Y86,$Y86+($Z86-$Y86)*(MAX(10,MIN(150,$C86))-INDEX('Flow Curves'!$A$5:$A$11,$W86))/(INDEX('Flow Curves'!$A$5:$A$11,$X86)-INDEX('Flow Curves'!$A$5:$A$11,$W86))))</f>
        <v>0</v>
      </c>
      <c r="P86" s="20" t="n">
        <f aca="false">IF(OR($B86="Air",$B86="Open Blow"),$O86*60*Cost!$D$16*Cost!$D$17/Cost!$D$5*Cost!$D$13,0)</f>
        <v>0</v>
      </c>
      <c r="Q86" s="17"/>
      <c r="U86" s="16" t="str">
        <f aca="false">IF($D86="","",IF(ISNA(MATCH($B86,Cost!$H$5:$H$11,0)),"CHECK GAS TYPE",IF(OR($C86&lt;10,$C86&gt;150),"CHECK PRESSURE: outside 10-150 psi table",IF(OR($D86&lt;1,$D86&gt;120),"CHECK dB: outside 1-120 table",IF(ISNA(MATCH($C86,'Flow Curves'!$A$5:$A$11,0)),"INTERPOLATED between curves","Table curve")))))</f>
        <v/>
      </c>
      <c r="W86" s="2" t="str">
        <f aca="false">IF(OR($D86="",$C86=""),"",MATCH(MAX(10,MIN(150,$C86)),'Flow Curves'!$A$5:$A$11,1))</f>
        <v/>
      </c>
      <c r="X86" s="2" t="str">
        <f aca="false">IF($W86="","",MIN($W86+1,7))</f>
        <v/>
      </c>
      <c r="Y86" s="2" t="str">
        <f aca="false">IF($W86="","",INDEX('Flow Curves'!$B$5:$B$11,$W86)*POWER($D86,INDEX('Flow Curves'!$C$5:$C$11,$W86)))</f>
        <v/>
      </c>
      <c r="Z86" s="2" t="str">
        <f aca="false">IF($W86="","",INDEX('Flow Curves'!$B$5:$B$11,$X86)*POWER($D86,INDEX('Flow Curves'!$C$5:$C$11,$X86)))</f>
        <v/>
      </c>
    </row>
    <row r="87" customFormat="false" ht="15" hidden="false" customHeight="false" outlineLevel="0" collapsed="false">
      <c r="A87" s="16" t="n">
        <v>80</v>
      </c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8" t="n">
        <f aca="false">IF($O87=0,0,$O87*60*Cost!$D$16*Cost!$D$17*IFERROR(INDEX(Cost!$I$5:$I$11,MATCH($B87,Cost!$H$5:$H$11,0)),0)/Cost!$D$5)</f>
        <v>0</v>
      </c>
      <c r="O87" s="19" t="n">
        <f aca="false">IF($W87="",0,IF(INDEX('Flow Curves'!$A$5:$A$11,$X87)=INDEX('Flow Curves'!$A$5:$A$11,$W87),$Y87,$Y87+($Z87-$Y87)*(MAX(10,MIN(150,$C87))-INDEX('Flow Curves'!$A$5:$A$11,$W87))/(INDEX('Flow Curves'!$A$5:$A$11,$X87)-INDEX('Flow Curves'!$A$5:$A$11,$W87))))</f>
        <v>0</v>
      </c>
      <c r="P87" s="20" t="n">
        <f aca="false">IF(OR($B87="Air",$B87="Open Blow"),$O87*60*Cost!$D$16*Cost!$D$17/Cost!$D$5*Cost!$D$13,0)</f>
        <v>0</v>
      </c>
      <c r="Q87" s="17"/>
      <c r="U87" s="16" t="str">
        <f aca="false">IF($D87="","",IF(ISNA(MATCH($B87,Cost!$H$5:$H$11,0)),"CHECK GAS TYPE",IF(OR($C87&lt;10,$C87&gt;150),"CHECK PRESSURE: outside 10-150 psi table",IF(OR($D87&lt;1,$D87&gt;120),"CHECK dB: outside 1-120 table",IF(ISNA(MATCH($C87,'Flow Curves'!$A$5:$A$11,0)),"INTERPOLATED between curves","Table curve")))))</f>
        <v/>
      </c>
      <c r="W87" s="2" t="str">
        <f aca="false">IF(OR($D87="",$C87=""),"",MATCH(MAX(10,MIN(150,$C87)),'Flow Curves'!$A$5:$A$11,1))</f>
        <v/>
      </c>
      <c r="X87" s="2" t="str">
        <f aca="false">IF($W87="","",MIN($W87+1,7))</f>
        <v/>
      </c>
      <c r="Y87" s="2" t="str">
        <f aca="false">IF($W87="","",INDEX('Flow Curves'!$B$5:$B$11,$W87)*POWER($D87,INDEX('Flow Curves'!$C$5:$C$11,$W87)))</f>
        <v/>
      </c>
      <c r="Z87" s="2" t="str">
        <f aca="false">IF($W87="","",INDEX('Flow Curves'!$B$5:$B$11,$X87)*POWER($D87,INDEX('Flow Curves'!$C$5:$C$11,$X87)))</f>
        <v/>
      </c>
    </row>
    <row r="88" customFormat="false" ht="15" hidden="false" customHeight="false" outlineLevel="0" collapsed="false">
      <c r="A88" s="16" t="n">
        <v>81</v>
      </c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8" t="n">
        <f aca="false">IF($O88=0,0,$O88*60*Cost!$D$16*Cost!$D$17*IFERROR(INDEX(Cost!$I$5:$I$11,MATCH($B88,Cost!$H$5:$H$11,0)),0)/Cost!$D$5)</f>
        <v>0</v>
      </c>
      <c r="O88" s="19" t="n">
        <f aca="false">IF($W88="",0,IF(INDEX('Flow Curves'!$A$5:$A$11,$X88)=INDEX('Flow Curves'!$A$5:$A$11,$W88),$Y88,$Y88+($Z88-$Y88)*(MAX(10,MIN(150,$C88))-INDEX('Flow Curves'!$A$5:$A$11,$W88))/(INDEX('Flow Curves'!$A$5:$A$11,$X88)-INDEX('Flow Curves'!$A$5:$A$11,$W88))))</f>
        <v>0</v>
      </c>
      <c r="P88" s="20" t="n">
        <f aca="false">IF(OR($B88="Air",$B88="Open Blow"),$O88*60*Cost!$D$16*Cost!$D$17/Cost!$D$5*Cost!$D$13,0)</f>
        <v>0</v>
      </c>
      <c r="Q88" s="17"/>
      <c r="U88" s="16" t="str">
        <f aca="false">IF($D88="","",IF(ISNA(MATCH($B88,Cost!$H$5:$H$11,0)),"CHECK GAS TYPE",IF(OR($C88&lt;10,$C88&gt;150),"CHECK PRESSURE: outside 10-150 psi table",IF(OR($D88&lt;1,$D88&gt;120),"CHECK dB: outside 1-120 table",IF(ISNA(MATCH($C88,'Flow Curves'!$A$5:$A$11,0)),"INTERPOLATED between curves","Table curve")))))</f>
        <v/>
      </c>
      <c r="W88" s="2" t="str">
        <f aca="false">IF(OR($D88="",$C88=""),"",MATCH(MAX(10,MIN(150,$C88)),'Flow Curves'!$A$5:$A$11,1))</f>
        <v/>
      </c>
      <c r="X88" s="2" t="str">
        <f aca="false">IF($W88="","",MIN($W88+1,7))</f>
        <v/>
      </c>
      <c r="Y88" s="2" t="str">
        <f aca="false">IF($W88="","",INDEX('Flow Curves'!$B$5:$B$11,$W88)*POWER($D88,INDEX('Flow Curves'!$C$5:$C$11,$W88)))</f>
        <v/>
      </c>
      <c r="Z88" s="2" t="str">
        <f aca="false">IF($W88="","",INDEX('Flow Curves'!$B$5:$B$11,$X88)*POWER($D88,INDEX('Flow Curves'!$C$5:$C$11,$X88)))</f>
        <v/>
      </c>
    </row>
    <row r="89" customFormat="false" ht="15" hidden="false" customHeight="false" outlineLevel="0" collapsed="false">
      <c r="A89" s="16" t="n">
        <v>82</v>
      </c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8" t="n">
        <f aca="false">IF($O89=0,0,$O89*60*Cost!$D$16*Cost!$D$17*IFERROR(INDEX(Cost!$I$5:$I$11,MATCH($B89,Cost!$H$5:$H$11,0)),0)/Cost!$D$5)</f>
        <v>0</v>
      </c>
      <c r="O89" s="19" t="n">
        <f aca="false">IF($W89="",0,IF(INDEX('Flow Curves'!$A$5:$A$11,$X89)=INDEX('Flow Curves'!$A$5:$A$11,$W89),$Y89,$Y89+($Z89-$Y89)*(MAX(10,MIN(150,$C89))-INDEX('Flow Curves'!$A$5:$A$11,$W89))/(INDEX('Flow Curves'!$A$5:$A$11,$X89)-INDEX('Flow Curves'!$A$5:$A$11,$W89))))</f>
        <v>0</v>
      </c>
      <c r="P89" s="20" t="n">
        <f aca="false">IF(OR($B89="Air",$B89="Open Blow"),$O89*60*Cost!$D$16*Cost!$D$17/Cost!$D$5*Cost!$D$13,0)</f>
        <v>0</v>
      </c>
      <c r="Q89" s="17"/>
      <c r="U89" s="16" t="str">
        <f aca="false">IF($D89="","",IF(ISNA(MATCH($B89,Cost!$H$5:$H$11,0)),"CHECK GAS TYPE",IF(OR($C89&lt;10,$C89&gt;150),"CHECK PRESSURE: outside 10-150 psi table",IF(OR($D89&lt;1,$D89&gt;120),"CHECK dB: outside 1-120 table",IF(ISNA(MATCH($C89,'Flow Curves'!$A$5:$A$11,0)),"INTERPOLATED between curves","Table curve")))))</f>
        <v/>
      </c>
      <c r="W89" s="2" t="str">
        <f aca="false">IF(OR($D89="",$C89=""),"",MATCH(MAX(10,MIN(150,$C89)),'Flow Curves'!$A$5:$A$11,1))</f>
        <v/>
      </c>
      <c r="X89" s="2" t="str">
        <f aca="false">IF($W89="","",MIN($W89+1,7))</f>
        <v/>
      </c>
      <c r="Y89" s="2" t="str">
        <f aca="false">IF($W89="","",INDEX('Flow Curves'!$B$5:$B$11,$W89)*POWER($D89,INDEX('Flow Curves'!$C$5:$C$11,$W89)))</f>
        <v/>
      </c>
      <c r="Z89" s="2" t="str">
        <f aca="false">IF($W89="","",INDEX('Flow Curves'!$B$5:$B$11,$X89)*POWER($D89,INDEX('Flow Curves'!$C$5:$C$11,$X89)))</f>
        <v/>
      </c>
    </row>
    <row r="90" customFormat="false" ht="15" hidden="false" customHeight="false" outlineLevel="0" collapsed="false">
      <c r="A90" s="16" t="n">
        <v>83</v>
      </c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8" t="n">
        <f aca="false">IF($O90=0,0,$O90*60*Cost!$D$16*Cost!$D$17*IFERROR(INDEX(Cost!$I$5:$I$11,MATCH($B90,Cost!$H$5:$H$11,0)),0)/Cost!$D$5)</f>
        <v>0</v>
      </c>
      <c r="O90" s="19" t="n">
        <f aca="false">IF($W90="",0,IF(INDEX('Flow Curves'!$A$5:$A$11,$X90)=INDEX('Flow Curves'!$A$5:$A$11,$W90),$Y90,$Y90+($Z90-$Y90)*(MAX(10,MIN(150,$C90))-INDEX('Flow Curves'!$A$5:$A$11,$W90))/(INDEX('Flow Curves'!$A$5:$A$11,$X90)-INDEX('Flow Curves'!$A$5:$A$11,$W90))))</f>
        <v>0</v>
      </c>
      <c r="P90" s="20" t="n">
        <f aca="false">IF(OR($B90="Air",$B90="Open Blow"),$O90*60*Cost!$D$16*Cost!$D$17/Cost!$D$5*Cost!$D$13,0)</f>
        <v>0</v>
      </c>
      <c r="Q90" s="17"/>
      <c r="U90" s="16" t="str">
        <f aca="false">IF($D90="","",IF(ISNA(MATCH($B90,Cost!$H$5:$H$11,0)),"CHECK GAS TYPE",IF(OR($C90&lt;10,$C90&gt;150),"CHECK PRESSURE: outside 10-150 psi table",IF(OR($D90&lt;1,$D90&gt;120),"CHECK dB: outside 1-120 table",IF(ISNA(MATCH($C90,'Flow Curves'!$A$5:$A$11,0)),"INTERPOLATED between curves","Table curve")))))</f>
        <v/>
      </c>
      <c r="W90" s="2" t="str">
        <f aca="false">IF(OR($D90="",$C90=""),"",MATCH(MAX(10,MIN(150,$C90)),'Flow Curves'!$A$5:$A$11,1))</f>
        <v/>
      </c>
      <c r="X90" s="2" t="str">
        <f aca="false">IF($W90="","",MIN($W90+1,7))</f>
        <v/>
      </c>
      <c r="Y90" s="2" t="str">
        <f aca="false">IF($W90="","",INDEX('Flow Curves'!$B$5:$B$11,$W90)*POWER($D90,INDEX('Flow Curves'!$C$5:$C$11,$W90)))</f>
        <v/>
      </c>
      <c r="Z90" s="2" t="str">
        <f aca="false">IF($W90="","",INDEX('Flow Curves'!$B$5:$B$11,$X90)*POWER($D90,INDEX('Flow Curves'!$C$5:$C$11,$X90)))</f>
        <v/>
      </c>
    </row>
    <row r="91" customFormat="false" ht="15" hidden="false" customHeight="false" outlineLevel="0" collapsed="false">
      <c r="A91" s="16" t="n">
        <v>84</v>
      </c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8" t="n">
        <f aca="false">IF($O91=0,0,$O91*60*Cost!$D$16*Cost!$D$17*IFERROR(INDEX(Cost!$I$5:$I$11,MATCH($B91,Cost!$H$5:$H$11,0)),0)/Cost!$D$5)</f>
        <v>0</v>
      </c>
      <c r="O91" s="19" t="n">
        <f aca="false">IF($W91="",0,IF(INDEX('Flow Curves'!$A$5:$A$11,$X91)=INDEX('Flow Curves'!$A$5:$A$11,$W91),$Y91,$Y91+($Z91-$Y91)*(MAX(10,MIN(150,$C91))-INDEX('Flow Curves'!$A$5:$A$11,$W91))/(INDEX('Flow Curves'!$A$5:$A$11,$X91)-INDEX('Flow Curves'!$A$5:$A$11,$W91))))</f>
        <v>0</v>
      </c>
      <c r="P91" s="20" t="n">
        <f aca="false">IF(OR($B91="Air",$B91="Open Blow"),$O91*60*Cost!$D$16*Cost!$D$17/Cost!$D$5*Cost!$D$13,0)</f>
        <v>0</v>
      </c>
      <c r="Q91" s="17"/>
      <c r="U91" s="16" t="str">
        <f aca="false">IF($D91="","",IF(ISNA(MATCH($B91,Cost!$H$5:$H$11,0)),"CHECK GAS TYPE",IF(OR($C91&lt;10,$C91&gt;150),"CHECK PRESSURE: outside 10-150 psi table",IF(OR($D91&lt;1,$D91&gt;120),"CHECK dB: outside 1-120 table",IF(ISNA(MATCH($C91,'Flow Curves'!$A$5:$A$11,0)),"INTERPOLATED between curves","Table curve")))))</f>
        <v/>
      </c>
      <c r="W91" s="2" t="str">
        <f aca="false">IF(OR($D91="",$C91=""),"",MATCH(MAX(10,MIN(150,$C91)),'Flow Curves'!$A$5:$A$11,1))</f>
        <v/>
      </c>
      <c r="X91" s="2" t="str">
        <f aca="false">IF($W91="","",MIN($W91+1,7))</f>
        <v/>
      </c>
      <c r="Y91" s="2" t="str">
        <f aca="false">IF($W91="","",INDEX('Flow Curves'!$B$5:$B$11,$W91)*POWER($D91,INDEX('Flow Curves'!$C$5:$C$11,$W91)))</f>
        <v/>
      </c>
      <c r="Z91" s="2" t="str">
        <f aca="false">IF($W91="","",INDEX('Flow Curves'!$B$5:$B$11,$X91)*POWER($D91,INDEX('Flow Curves'!$C$5:$C$11,$X91)))</f>
        <v/>
      </c>
    </row>
    <row r="92" customFormat="false" ht="15" hidden="false" customHeight="false" outlineLevel="0" collapsed="false">
      <c r="A92" s="16" t="n">
        <v>85</v>
      </c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8" t="n">
        <f aca="false">IF($O92=0,0,$O92*60*Cost!$D$16*Cost!$D$17*IFERROR(INDEX(Cost!$I$5:$I$11,MATCH($B92,Cost!$H$5:$H$11,0)),0)/Cost!$D$5)</f>
        <v>0</v>
      </c>
      <c r="O92" s="19" t="n">
        <f aca="false">IF($W92="",0,IF(INDEX('Flow Curves'!$A$5:$A$11,$X92)=INDEX('Flow Curves'!$A$5:$A$11,$W92),$Y92,$Y92+($Z92-$Y92)*(MAX(10,MIN(150,$C92))-INDEX('Flow Curves'!$A$5:$A$11,$W92))/(INDEX('Flow Curves'!$A$5:$A$11,$X92)-INDEX('Flow Curves'!$A$5:$A$11,$W92))))</f>
        <v>0</v>
      </c>
      <c r="P92" s="20" t="n">
        <f aca="false">IF(OR($B92="Air",$B92="Open Blow"),$O92*60*Cost!$D$16*Cost!$D$17/Cost!$D$5*Cost!$D$13,0)</f>
        <v>0</v>
      </c>
      <c r="Q92" s="17"/>
      <c r="U92" s="16" t="str">
        <f aca="false">IF($D92="","",IF(ISNA(MATCH($B92,Cost!$H$5:$H$11,0)),"CHECK GAS TYPE",IF(OR($C92&lt;10,$C92&gt;150),"CHECK PRESSURE: outside 10-150 psi table",IF(OR($D92&lt;1,$D92&gt;120),"CHECK dB: outside 1-120 table",IF(ISNA(MATCH($C92,'Flow Curves'!$A$5:$A$11,0)),"INTERPOLATED between curves","Table curve")))))</f>
        <v/>
      </c>
      <c r="W92" s="2" t="str">
        <f aca="false">IF(OR($D92="",$C92=""),"",MATCH(MAX(10,MIN(150,$C92)),'Flow Curves'!$A$5:$A$11,1))</f>
        <v/>
      </c>
      <c r="X92" s="2" t="str">
        <f aca="false">IF($W92="","",MIN($W92+1,7))</f>
        <v/>
      </c>
      <c r="Y92" s="2" t="str">
        <f aca="false">IF($W92="","",INDEX('Flow Curves'!$B$5:$B$11,$W92)*POWER($D92,INDEX('Flow Curves'!$C$5:$C$11,$W92)))</f>
        <v/>
      </c>
      <c r="Z92" s="2" t="str">
        <f aca="false">IF($W92="","",INDEX('Flow Curves'!$B$5:$B$11,$X92)*POWER($D92,INDEX('Flow Curves'!$C$5:$C$11,$X92)))</f>
        <v/>
      </c>
    </row>
    <row r="93" customFormat="false" ht="15" hidden="false" customHeight="false" outlineLevel="0" collapsed="false">
      <c r="A93" s="16" t="n">
        <v>86</v>
      </c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8" t="n">
        <f aca="false">IF($O93=0,0,$O93*60*Cost!$D$16*Cost!$D$17*IFERROR(INDEX(Cost!$I$5:$I$11,MATCH($B93,Cost!$H$5:$H$11,0)),0)/Cost!$D$5)</f>
        <v>0</v>
      </c>
      <c r="O93" s="19" t="n">
        <f aca="false">IF($W93="",0,IF(INDEX('Flow Curves'!$A$5:$A$11,$X93)=INDEX('Flow Curves'!$A$5:$A$11,$W93),$Y93,$Y93+($Z93-$Y93)*(MAX(10,MIN(150,$C93))-INDEX('Flow Curves'!$A$5:$A$11,$W93))/(INDEX('Flow Curves'!$A$5:$A$11,$X93)-INDEX('Flow Curves'!$A$5:$A$11,$W93))))</f>
        <v>0</v>
      </c>
      <c r="P93" s="20" t="n">
        <f aca="false">IF(OR($B93="Air",$B93="Open Blow"),$O93*60*Cost!$D$16*Cost!$D$17/Cost!$D$5*Cost!$D$13,0)</f>
        <v>0</v>
      </c>
      <c r="Q93" s="17"/>
      <c r="U93" s="16" t="str">
        <f aca="false">IF($D93="","",IF(ISNA(MATCH($B93,Cost!$H$5:$H$11,0)),"CHECK GAS TYPE",IF(OR($C93&lt;10,$C93&gt;150),"CHECK PRESSURE: outside 10-150 psi table",IF(OR($D93&lt;1,$D93&gt;120),"CHECK dB: outside 1-120 table",IF(ISNA(MATCH($C93,'Flow Curves'!$A$5:$A$11,0)),"INTERPOLATED between curves","Table curve")))))</f>
        <v/>
      </c>
      <c r="W93" s="2" t="str">
        <f aca="false">IF(OR($D93="",$C93=""),"",MATCH(MAX(10,MIN(150,$C93)),'Flow Curves'!$A$5:$A$11,1))</f>
        <v/>
      </c>
      <c r="X93" s="2" t="str">
        <f aca="false">IF($W93="","",MIN($W93+1,7))</f>
        <v/>
      </c>
      <c r="Y93" s="2" t="str">
        <f aca="false">IF($W93="","",INDEX('Flow Curves'!$B$5:$B$11,$W93)*POWER($D93,INDEX('Flow Curves'!$C$5:$C$11,$W93)))</f>
        <v/>
      </c>
      <c r="Z93" s="2" t="str">
        <f aca="false">IF($W93="","",INDEX('Flow Curves'!$B$5:$B$11,$X93)*POWER($D93,INDEX('Flow Curves'!$C$5:$C$11,$X93)))</f>
        <v/>
      </c>
    </row>
    <row r="94" customFormat="false" ht="15" hidden="false" customHeight="false" outlineLevel="0" collapsed="false">
      <c r="A94" s="16" t="n">
        <v>87</v>
      </c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8" t="n">
        <f aca="false">IF($O94=0,0,$O94*60*Cost!$D$16*Cost!$D$17*IFERROR(INDEX(Cost!$I$5:$I$11,MATCH($B94,Cost!$H$5:$H$11,0)),0)/Cost!$D$5)</f>
        <v>0</v>
      </c>
      <c r="O94" s="19" t="n">
        <f aca="false">IF($W94="",0,IF(INDEX('Flow Curves'!$A$5:$A$11,$X94)=INDEX('Flow Curves'!$A$5:$A$11,$W94),$Y94,$Y94+($Z94-$Y94)*(MAX(10,MIN(150,$C94))-INDEX('Flow Curves'!$A$5:$A$11,$W94))/(INDEX('Flow Curves'!$A$5:$A$11,$X94)-INDEX('Flow Curves'!$A$5:$A$11,$W94))))</f>
        <v>0</v>
      </c>
      <c r="P94" s="20" t="n">
        <f aca="false">IF(OR($B94="Air",$B94="Open Blow"),$O94*60*Cost!$D$16*Cost!$D$17/Cost!$D$5*Cost!$D$13,0)</f>
        <v>0</v>
      </c>
      <c r="Q94" s="17"/>
      <c r="U94" s="16" t="str">
        <f aca="false">IF($D94="","",IF(ISNA(MATCH($B94,Cost!$H$5:$H$11,0)),"CHECK GAS TYPE",IF(OR($C94&lt;10,$C94&gt;150),"CHECK PRESSURE: outside 10-150 psi table",IF(OR($D94&lt;1,$D94&gt;120),"CHECK dB: outside 1-120 table",IF(ISNA(MATCH($C94,'Flow Curves'!$A$5:$A$11,0)),"INTERPOLATED between curves","Table curve")))))</f>
        <v/>
      </c>
      <c r="W94" s="2" t="str">
        <f aca="false">IF(OR($D94="",$C94=""),"",MATCH(MAX(10,MIN(150,$C94)),'Flow Curves'!$A$5:$A$11,1))</f>
        <v/>
      </c>
      <c r="X94" s="2" t="str">
        <f aca="false">IF($W94="","",MIN($W94+1,7))</f>
        <v/>
      </c>
      <c r="Y94" s="2" t="str">
        <f aca="false">IF($W94="","",INDEX('Flow Curves'!$B$5:$B$11,$W94)*POWER($D94,INDEX('Flow Curves'!$C$5:$C$11,$W94)))</f>
        <v/>
      </c>
      <c r="Z94" s="2" t="str">
        <f aca="false">IF($W94="","",INDEX('Flow Curves'!$B$5:$B$11,$X94)*POWER($D94,INDEX('Flow Curves'!$C$5:$C$11,$X94)))</f>
        <v/>
      </c>
    </row>
    <row r="95" customFormat="false" ht="15" hidden="false" customHeight="false" outlineLevel="0" collapsed="false">
      <c r="A95" s="16" t="n">
        <v>88</v>
      </c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8" t="n">
        <f aca="false">IF($O95=0,0,$O95*60*Cost!$D$16*Cost!$D$17*IFERROR(INDEX(Cost!$I$5:$I$11,MATCH($B95,Cost!$H$5:$H$11,0)),0)/Cost!$D$5)</f>
        <v>0</v>
      </c>
      <c r="O95" s="19" t="n">
        <f aca="false">IF($W95="",0,IF(INDEX('Flow Curves'!$A$5:$A$11,$X95)=INDEX('Flow Curves'!$A$5:$A$11,$W95),$Y95,$Y95+($Z95-$Y95)*(MAX(10,MIN(150,$C95))-INDEX('Flow Curves'!$A$5:$A$11,$W95))/(INDEX('Flow Curves'!$A$5:$A$11,$X95)-INDEX('Flow Curves'!$A$5:$A$11,$W95))))</f>
        <v>0</v>
      </c>
      <c r="P95" s="20" t="n">
        <f aca="false">IF(OR($B95="Air",$B95="Open Blow"),$O95*60*Cost!$D$16*Cost!$D$17/Cost!$D$5*Cost!$D$13,0)</f>
        <v>0</v>
      </c>
      <c r="Q95" s="17"/>
      <c r="U95" s="16" t="str">
        <f aca="false">IF($D95="","",IF(ISNA(MATCH($B95,Cost!$H$5:$H$11,0)),"CHECK GAS TYPE",IF(OR($C95&lt;10,$C95&gt;150),"CHECK PRESSURE: outside 10-150 psi table",IF(OR($D95&lt;1,$D95&gt;120),"CHECK dB: outside 1-120 table",IF(ISNA(MATCH($C95,'Flow Curves'!$A$5:$A$11,0)),"INTERPOLATED between curves","Table curve")))))</f>
        <v/>
      </c>
      <c r="W95" s="2" t="str">
        <f aca="false">IF(OR($D95="",$C95=""),"",MATCH(MAX(10,MIN(150,$C95)),'Flow Curves'!$A$5:$A$11,1))</f>
        <v/>
      </c>
      <c r="X95" s="2" t="str">
        <f aca="false">IF($W95="","",MIN($W95+1,7))</f>
        <v/>
      </c>
      <c r="Y95" s="2" t="str">
        <f aca="false">IF($W95="","",INDEX('Flow Curves'!$B$5:$B$11,$W95)*POWER($D95,INDEX('Flow Curves'!$C$5:$C$11,$W95)))</f>
        <v/>
      </c>
      <c r="Z95" s="2" t="str">
        <f aca="false">IF($W95="","",INDEX('Flow Curves'!$B$5:$B$11,$X95)*POWER($D95,INDEX('Flow Curves'!$C$5:$C$11,$X95)))</f>
        <v/>
      </c>
    </row>
    <row r="96" customFormat="false" ht="15" hidden="false" customHeight="false" outlineLevel="0" collapsed="false">
      <c r="A96" s="16" t="n">
        <v>89</v>
      </c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8" t="n">
        <f aca="false">IF($O96=0,0,$O96*60*Cost!$D$16*Cost!$D$17*IFERROR(INDEX(Cost!$I$5:$I$11,MATCH($B96,Cost!$H$5:$H$11,0)),0)/Cost!$D$5)</f>
        <v>0</v>
      </c>
      <c r="O96" s="19" t="n">
        <f aca="false">IF($W96="",0,IF(INDEX('Flow Curves'!$A$5:$A$11,$X96)=INDEX('Flow Curves'!$A$5:$A$11,$W96),$Y96,$Y96+($Z96-$Y96)*(MAX(10,MIN(150,$C96))-INDEX('Flow Curves'!$A$5:$A$11,$W96))/(INDEX('Flow Curves'!$A$5:$A$11,$X96)-INDEX('Flow Curves'!$A$5:$A$11,$W96))))</f>
        <v>0</v>
      </c>
      <c r="P96" s="20" t="n">
        <f aca="false">IF(OR($B96="Air",$B96="Open Blow"),$O96*60*Cost!$D$16*Cost!$D$17/Cost!$D$5*Cost!$D$13,0)</f>
        <v>0</v>
      </c>
      <c r="Q96" s="17"/>
      <c r="U96" s="16" t="str">
        <f aca="false">IF($D96="","",IF(ISNA(MATCH($B96,Cost!$H$5:$H$11,0)),"CHECK GAS TYPE",IF(OR($C96&lt;10,$C96&gt;150),"CHECK PRESSURE: outside 10-150 psi table",IF(OR($D96&lt;1,$D96&gt;120),"CHECK dB: outside 1-120 table",IF(ISNA(MATCH($C96,'Flow Curves'!$A$5:$A$11,0)),"INTERPOLATED between curves","Table curve")))))</f>
        <v/>
      </c>
      <c r="W96" s="2" t="str">
        <f aca="false">IF(OR($D96="",$C96=""),"",MATCH(MAX(10,MIN(150,$C96)),'Flow Curves'!$A$5:$A$11,1))</f>
        <v/>
      </c>
      <c r="X96" s="2" t="str">
        <f aca="false">IF($W96="","",MIN($W96+1,7))</f>
        <v/>
      </c>
      <c r="Y96" s="2" t="str">
        <f aca="false">IF($W96="","",INDEX('Flow Curves'!$B$5:$B$11,$W96)*POWER($D96,INDEX('Flow Curves'!$C$5:$C$11,$W96)))</f>
        <v/>
      </c>
      <c r="Z96" s="2" t="str">
        <f aca="false">IF($W96="","",INDEX('Flow Curves'!$B$5:$B$11,$X96)*POWER($D96,INDEX('Flow Curves'!$C$5:$C$11,$X96)))</f>
        <v/>
      </c>
    </row>
    <row r="97" customFormat="false" ht="15" hidden="false" customHeight="false" outlineLevel="0" collapsed="false">
      <c r="A97" s="16" t="n">
        <v>90</v>
      </c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8" t="n">
        <f aca="false">IF($O97=0,0,$O97*60*Cost!$D$16*Cost!$D$17*IFERROR(INDEX(Cost!$I$5:$I$11,MATCH($B97,Cost!$H$5:$H$11,0)),0)/Cost!$D$5)</f>
        <v>0</v>
      </c>
      <c r="O97" s="19" t="n">
        <f aca="false">IF($W97="",0,IF(INDEX('Flow Curves'!$A$5:$A$11,$X97)=INDEX('Flow Curves'!$A$5:$A$11,$W97),$Y97,$Y97+($Z97-$Y97)*(MAX(10,MIN(150,$C97))-INDEX('Flow Curves'!$A$5:$A$11,$W97))/(INDEX('Flow Curves'!$A$5:$A$11,$X97)-INDEX('Flow Curves'!$A$5:$A$11,$W97))))</f>
        <v>0</v>
      </c>
      <c r="P97" s="20" t="n">
        <f aca="false">IF(OR($B97="Air",$B97="Open Blow"),$O97*60*Cost!$D$16*Cost!$D$17/Cost!$D$5*Cost!$D$13,0)</f>
        <v>0</v>
      </c>
      <c r="Q97" s="17"/>
      <c r="U97" s="16" t="str">
        <f aca="false">IF($D97="","",IF(ISNA(MATCH($B97,Cost!$H$5:$H$11,0)),"CHECK GAS TYPE",IF(OR($C97&lt;10,$C97&gt;150),"CHECK PRESSURE: outside 10-150 psi table",IF(OR($D97&lt;1,$D97&gt;120),"CHECK dB: outside 1-120 table",IF(ISNA(MATCH($C97,'Flow Curves'!$A$5:$A$11,0)),"INTERPOLATED between curves","Table curve")))))</f>
        <v/>
      </c>
      <c r="W97" s="2" t="str">
        <f aca="false">IF(OR($D97="",$C97=""),"",MATCH(MAX(10,MIN(150,$C97)),'Flow Curves'!$A$5:$A$11,1))</f>
        <v/>
      </c>
      <c r="X97" s="2" t="str">
        <f aca="false">IF($W97="","",MIN($W97+1,7))</f>
        <v/>
      </c>
      <c r="Y97" s="2" t="str">
        <f aca="false">IF($W97="","",INDEX('Flow Curves'!$B$5:$B$11,$W97)*POWER($D97,INDEX('Flow Curves'!$C$5:$C$11,$W97)))</f>
        <v/>
      </c>
      <c r="Z97" s="2" t="str">
        <f aca="false">IF($W97="","",INDEX('Flow Curves'!$B$5:$B$11,$X97)*POWER($D97,INDEX('Flow Curves'!$C$5:$C$11,$X97)))</f>
        <v/>
      </c>
    </row>
    <row r="98" customFormat="false" ht="15" hidden="false" customHeight="false" outlineLevel="0" collapsed="false">
      <c r="A98" s="16" t="n">
        <v>91</v>
      </c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8" t="n">
        <f aca="false">IF($O98=0,0,$O98*60*Cost!$D$16*Cost!$D$17*IFERROR(INDEX(Cost!$I$5:$I$11,MATCH($B98,Cost!$H$5:$H$11,0)),0)/Cost!$D$5)</f>
        <v>0</v>
      </c>
      <c r="O98" s="19" t="n">
        <f aca="false">IF($W98="",0,IF(INDEX('Flow Curves'!$A$5:$A$11,$X98)=INDEX('Flow Curves'!$A$5:$A$11,$W98),$Y98,$Y98+($Z98-$Y98)*(MAX(10,MIN(150,$C98))-INDEX('Flow Curves'!$A$5:$A$11,$W98))/(INDEX('Flow Curves'!$A$5:$A$11,$X98)-INDEX('Flow Curves'!$A$5:$A$11,$W98))))</f>
        <v>0</v>
      </c>
      <c r="P98" s="20" t="n">
        <f aca="false">IF(OR($B98="Air",$B98="Open Blow"),$O98*60*Cost!$D$16*Cost!$D$17/Cost!$D$5*Cost!$D$13,0)</f>
        <v>0</v>
      </c>
      <c r="Q98" s="17"/>
      <c r="U98" s="16" t="str">
        <f aca="false">IF($D98="","",IF(ISNA(MATCH($B98,Cost!$H$5:$H$11,0)),"CHECK GAS TYPE",IF(OR($C98&lt;10,$C98&gt;150),"CHECK PRESSURE: outside 10-150 psi table",IF(OR($D98&lt;1,$D98&gt;120),"CHECK dB: outside 1-120 table",IF(ISNA(MATCH($C98,'Flow Curves'!$A$5:$A$11,0)),"INTERPOLATED between curves","Table curve")))))</f>
        <v/>
      </c>
      <c r="W98" s="2" t="str">
        <f aca="false">IF(OR($D98="",$C98=""),"",MATCH(MAX(10,MIN(150,$C98)),'Flow Curves'!$A$5:$A$11,1))</f>
        <v/>
      </c>
      <c r="X98" s="2" t="str">
        <f aca="false">IF($W98="","",MIN($W98+1,7))</f>
        <v/>
      </c>
      <c r="Y98" s="2" t="str">
        <f aca="false">IF($W98="","",INDEX('Flow Curves'!$B$5:$B$11,$W98)*POWER($D98,INDEX('Flow Curves'!$C$5:$C$11,$W98)))</f>
        <v/>
      </c>
      <c r="Z98" s="2" t="str">
        <f aca="false">IF($W98="","",INDEX('Flow Curves'!$B$5:$B$11,$X98)*POWER($D98,INDEX('Flow Curves'!$C$5:$C$11,$X98)))</f>
        <v/>
      </c>
    </row>
    <row r="99" customFormat="false" ht="15" hidden="false" customHeight="false" outlineLevel="0" collapsed="false">
      <c r="A99" s="16" t="n">
        <v>92</v>
      </c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8" t="n">
        <f aca="false">IF($O99=0,0,$O99*60*Cost!$D$16*Cost!$D$17*IFERROR(INDEX(Cost!$I$5:$I$11,MATCH($B99,Cost!$H$5:$H$11,0)),0)/Cost!$D$5)</f>
        <v>0</v>
      </c>
      <c r="O99" s="19" t="n">
        <f aca="false">IF($W99="",0,IF(INDEX('Flow Curves'!$A$5:$A$11,$X99)=INDEX('Flow Curves'!$A$5:$A$11,$W99),$Y99,$Y99+($Z99-$Y99)*(MAX(10,MIN(150,$C99))-INDEX('Flow Curves'!$A$5:$A$11,$W99))/(INDEX('Flow Curves'!$A$5:$A$11,$X99)-INDEX('Flow Curves'!$A$5:$A$11,$W99))))</f>
        <v>0</v>
      </c>
      <c r="P99" s="20" t="n">
        <f aca="false">IF(OR($B99="Air",$B99="Open Blow"),$O99*60*Cost!$D$16*Cost!$D$17/Cost!$D$5*Cost!$D$13,0)</f>
        <v>0</v>
      </c>
      <c r="Q99" s="17"/>
      <c r="U99" s="16" t="str">
        <f aca="false">IF($D99="","",IF(ISNA(MATCH($B99,Cost!$H$5:$H$11,0)),"CHECK GAS TYPE",IF(OR($C99&lt;10,$C99&gt;150),"CHECK PRESSURE: outside 10-150 psi table",IF(OR($D99&lt;1,$D99&gt;120),"CHECK dB: outside 1-120 table",IF(ISNA(MATCH($C99,'Flow Curves'!$A$5:$A$11,0)),"INTERPOLATED between curves","Table curve")))))</f>
        <v/>
      </c>
      <c r="W99" s="2" t="str">
        <f aca="false">IF(OR($D99="",$C99=""),"",MATCH(MAX(10,MIN(150,$C99)),'Flow Curves'!$A$5:$A$11,1))</f>
        <v/>
      </c>
      <c r="X99" s="2" t="str">
        <f aca="false">IF($W99="","",MIN($W99+1,7))</f>
        <v/>
      </c>
      <c r="Y99" s="2" t="str">
        <f aca="false">IF($W99="","",INDEX('Flow Curves'!$B$5:$B$11,$W99)*POWER($D99,INDEX('Flow Curves'!$C$5:$C$11,$W99)))</f>
        <v/>
      </c>
      <c r="Z99" s="2" t="str">
        <f aca="false">IF($W99="","",INDEX('Flow Curves'!$B$5:$B$11,$X99)*POWER($D99,INDEX('Flow Curves'!$C$5:$C$11,$X99)))</f>
        <v/>
      </c>
    </row>
    <row r="100" customFormat="false" ht="15" hidden="false" customHeight="false" outlineLevel="0" collapsed="false">
      <c r="A100" s="16" t="n">
        <v>93</v>
      </c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8" t="n">
        <f aca="false">IF($O100=0,0,$O100*60*Cost!$D$16*Cost!$D$17*IFERROR(INDEX(Cost!$I$5:$I$11,MATCH($B100,Cost!$H$5:$H$11,0)),0)/Cost!$D$5)</f>
        <v>0</v>
      </c>
      <c r="O100" s="19" t="n">
        <f aca="false">IF($W100="",0,IF(INDEX('Flow Curves'!$A$5:$A$11,$X100)=INDEX('Flow Curves'!$A$5:$A$11,$W100),$Y100,$Y100+($Z100-$Y100)*(MAX(10,MIN(150,$C100))-INDEX('Flow Curves'!$A$5:$A$11,$W100))/(INDEX('Flow Curves'!$A$5:$A$11,$X100)-INDEX('Flow Curves'!$A$5:$A$11,$W100))))</f>
        <v>0</v>
      </c>
      <c r="P100" s="20" t="n">
        <f aca="false">IF(OR($B100="Air",$B100="Open Blow"),$O100*60*Cost!$D$16*Cost!$D$17/Cost!$D$5*Cost!$D$13,0)</f>
        <v>0</v>
      </c>
      <c r="Q100" s="17"/>
      <c r="U100" s="16" t="str">
        <f aca="false">IF($D100="","",IF(ISNA(MATCH($B100,Cost!$H$5:$H$11,0)),"CHECK GAS TYPE",IF(OR($C100&lt;10,$C100&gt;150),"CHECK PRESSURE: outside 10-150 psi table",IF(OR($D100&lt;1,$D100&gt;120),"CHECK dB: outside 1-120 table",IF(ISNA(MATCH($C100,'Flow Curves'!$A$5:$A$11,0)),"INTERPOLATED between curves","Table curve")))))</f>
        <v/>
      </c>
      <c r="W100" s="2" t="str">
        <f aca="false">IF(OR($D100="",$C100=""),"",MATCH(MAX(10,MIN(150,$C100)),'Flow Curves'!$A$5:$A$11,1))</f>
        <v/>
      </c>
      <c r="X100" s="2" t="str">
        <f aca="false">IF($W100="","",MIN($W100+1,7))</f>
        <v/>
      </c>
      <c r="Y100" s="2" t="str">
        <f aca="false">IF($W100="","",INDEX('Flow Curves'!$B$5:$B$11,$W100)*POWER($D100,INDEX('Flow Curves'!$C$5:$C$11,$W100)))</f>
        <v/>
      </c>
      <c r="Z100" s="2" t="str">
        <f aca="false">IF($W100="","",INDEX('Flow Curves'!$B$5:$B$11,$X100)*POWER($D100,INDEX('Flow Curves'!$C$5:$C$11,$X100)))</f>
        <v/>
      </c>
    </row>
    <row r="101" customFormat="false" ht="15" hidden="false" customHeight="false" outlineLevel="0" collapsed="false">
      <c r="A101" s="16" t="n">
        <v>94</v>
      </c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8" t="n">
        <f aca="false">IF($O101=0,0,$O101*60*Cost!$D$16*Cost!$D$17*IFERROR(INDEX(Cost!$I$5:$I$11,MATCH($B101,Cost!$H$5:$H$11,0)),0)/Cost!$D$5)</f>
        <v>0</v>
      </c>
      <c r="O101" s="19" t="n">
        <f aca="false">IF($W101="",0,IF(INDEX('Flow Curves'!$A$5:$A$11,$X101)=INDEX('Flow Curves'!$A$5:$A$11,$W101),$Y101,$Y101+($Z101-$Y101)*(MAX(10,MIN(150,$C101))-INDEX('Flow Curves'!$A$5:$A$11,$W101))/(INDEX('Flow Curves'!$A$5:$A$11,$X101)-INDEX('Flow Curves'!$A$5:$A$11,$W101))))</f>
        <v>0</v>
      </c>
      <c r="P101" s="20" t="n">
        <f aca="false">IF(OR($B101="Air",$B101="Open Blow"),$O101*60*Cost!$D$16*Cost!$D$17/Cost!$D$5*Cost!$D$13,0)</f>
        <v>0</v>
      </c>
      <c r="Q101" s="17"/>
      <c r="U101" s="16" t="str">
        <f aca="false">IF($D101="","",IF(ISNA(MATCH($B101,Cost!$H$5:$H$11,0)),"CHECK GAS TYPE",IF(OR($C101&lt;10,$C101&gt;150),"CHECK PRESSURE: outside 10-150 psi table",IF(OR($D101&lt;1,$D101&gt;120),"CHECK dB: outside 1-120 table",IF(ISNA(MATCH($C101,'Flow Curves'!$A$5:$A$11,0)),"INTERPOLATED between curves","Table curve")))))</f>
        <v/>
      </c>
      <c r="W101" s="2" t="str">
        <f aca="false">IF(OR($D101="",$C101=""),"",MATCH(MAX(10,MIN(150,$C101)),'Flow Curves'!$A$5:$A$11,1))</f>
        <v/>
      </c>
      <c r="X101" s="2" t="str">
        <f aca="false">IF($W101="","",MIN($W101+1,7))</f>
        <v/>
      </c>
      <c r="Y101" s="2" t="str">
        <f aca="false">IF($W101="","",INDEX('Flow Curves'!$B$5:$B$11,$W101)*POWER($D101,INDEX('Flow Curves'!$C$5:$C$11,$W101)))</f>
        <v/>
      </c>
      <c r="Z101" s="2" t="str">
        <f aca="false">IF($W101="","",INDEX('Flow Curves'!$B$5:$B$11,$X101)*POWER($D101,INDEX('Flow Curves'!$C$5:$C$11,$X101)))</f>
        <v/>
      </c>
    </row>
    <row r="102" customFormat="false" ht="15" hidden="false" customHeight="false" outlineLevel="0" collapsed="false">
      <c r="A102" s="16" t="n">
        <v>95</v>
      </c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8" t="n">
        <f aca="false">IF($O102=0,0,$O102*60*Cost!$D$16*Cost!$D$17*IFERROR(INDEX(Cost!$I$5:$I$11,MATCH($B102,Cost!$H$5:$H$11,0)),0)/Cost!$D$5)</f>
        <v>0</v>
      </c>
      <c r="O102" s="19" t="n">
        <f aca="false">IF($W102="",0,IF(INDEX('Flow Curves'!$A$5:$A$11,$X102)=INDEX('Flow Curves'!$A$5:$A$11,$W102),$Y102,$Y102+($Z102-$Y102)*(MAX(10,MIN(150,$C102))-INDEX('Flow Curves'!$A$5:$A$11,$W102))/(INDEX('Flow Curves'!$A$5:$A$11,$X102)-INDEX('Flow Curves'!$A$5:$A$11,$W102))))</f>
        <v>0</v>
      </c>
      <c r="P102" s="20" t="n">
        <f aca="false">IF(OR($B102="Air",$B102="Open Blow"),$O102*60*Cost!$D$16*Cost!$D$17/Cost!$D$5*Cost!$D$13,0)</f>
        <v>0</v>
      </c>
      <c r="Q102" s="17"/>
      <c r="U102" s="16" t="str">
        <f aca="false">IF($D102="","",IF(ISNA(MATCH($B102,Cost!$H$5:$H$11,0)),"CHECK GAS TYPE",IF(OR($C102&lt;10,$C102&gt;150),"CHECK PRESSURE: outside 10-150 psi table",IF(OR($D102&lt;1,$D102&gt;120),"CHECK dB: outside 1-120 table",IF(ISNA(MATCH($C102,'Flow Curves'!$A$5:$A$11,0)),"INTERPOLATED between curves","Table curve")))))</f>
        <v/>
      </c>
      <c r="W102" s="2" t="str">
        <f aca="false">IF(OR($D102="",$C102=""),"",MATCH(MAX(10,MIN(150,$C102)),'Flow Curves'!$A$5:$A$11,1))</f>
        <v/>
      </c>
      <c r="X102" s="2" t="str">
        <f aca="false">IF($W102="","",MIN($W102+1,7))</f>
        <v/>
      </c>
      <c r="Y102" s="2" t="str">
        <f aca="false">IF($W102="","",INDEX('Flow Curves'!$B$5:$B$11,$W102)*POWER($D102,INDEX('Flow Curves'!$C$5:$C$11,$W102)))</f>
        <v/>
      </c>
      <c r="Z102" s="2" t="str">
        <f aca="false">IF($W102="","",INDEX('Flow Curves'!$B$5:$B$11,$X102)*POWER($D102,INDEX('Flow Curves'!$C$5:$C$11,$X102)))</f>
        <v/>
      </c>
    </row>
    <row r="103" customFormat="false" ht="15" hidden="false" customHeight="false" outlineLevel="0" collapsed="false">
      <c r="A103" s="16" t="n">
        <v>96</v>
      </c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8" t="n">
        <f aca="false">IF($O103=0,0,$O103*60*Cost!$D$16*Cost!$D$17*IFERROR(INDEX(Cost!$I$5:$I$11,MATCH($B103,Cost!$H$5:$H$11,0)),0)/Cost!$D$5)</f>
        <v>0</v>
      </c>
      <c r="O103" s="19" t="n">
        <f aca="false">IF($W103="",0,IF(INDEX('Flow Curves'!$A$5:$A$11,$X103)=INDEX('Flow Curves'!$A$5:$A$11,$W103),$Y103,$Y103+($Z103-$Y103)*(MAX(10,MIN(150,$C103))-INDEX('Flow Curves'!$A$5:$A$11,$W103))/(INDEX('Flow Curves'!$A$5:$A$11,$X103)-INDEX('Flow Curves'!$A$5:$A$11,$W103))))</f>
        <v>0</v>
      </c>
      <c r="P103" s="20" t="n">
        <f aca="false">IF(OR($B103="Air",$B103="Open Blow"),$O103*60*Cost!$D$16*Cost!$D$17/Cost!$D$5*Cost!$D$13,0)</f>
        <v>0</v>
      </c>
      <c r="Q103" s="17"/>
      <c r="U103" s="16" t="str">
        <f aca="false">IF($D103="","",IF(ISNA(MATCH($B103,Cost!$H$5:$H$11,0)),"CHECK GAS TYPE",IF(OR($C103&lt;10,$C103&gt;150),"CHECK PRESSURE: outside 10-150 psi table",IF(OR($D103&lt;1,$D103&gt;120),"CHECK dB: outside 1-120 table",IF(ISNA(MATCH($C103,'Flow Curves'!$A$5:$A$11,0)),"INTERPOLATED between curves","Table curve")))))</f>
        <v/>
      </c>
      <c r="W103" s="2" t="str">
        <f aca="false">IF(OR($D103="",$C103=""),"",MATCH(MAX(10,MIN(150,$C103)),'Flow Curves'!$A$5:$A$11,1))</f>
        <v/>
      </c>
      <c r="X103" s="2" t="str">
        <f aca="false">IF($W103="","",MIN($W103+1,7))</f>
        <v/>
      </c>
      <c r="Y103" s="2" t="str">
        <f aca="false">IF($W103="","",INDEX('Flow Curves'!$B$5:$B$11,$W103)*POWER($D103,INDEX('Flow Curves'!$C$5:$C$11,$W103)))</f>
        <v/>
      </c>
      <c r="Z103" s="2" t="str">
        <f aca="false">IF($W103="","",INDEX('Flow Curves'!$B$5:$B$11,$X103)*POWER($D103,INDEX('Flow Curves'!$C$5:$C$11,$X103)))</f>
        <v/>
      </c>
    </row>
    <row r="104" customFormat="false" ht="15" hidden="false" customHeight="false" outlineLevel="0" collapsed="false">
      <c r="A104" s="16" t="n">
        <v>97</v>
      </c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8" t="n">
        <f aca="false">IF($O104=0,0,$O104*60*Cost!$D$16*Cost!$D$17*IFERROR(INDEX(Cost!$I$5:$I$11,MATCH($B104,Cost!$H$5:$H$11,0)),0)/Cost!$D$5)</f>
        <v>0</v>
      </c>
      <c r="O104" s="19" t="n">
        <f aca="false">IF($W104="",0,IF(INDEX('Flow Curves'!$A$5:$A$11,$X104)=INDEX('Flow Curves'!$A$5:$A$11,$W104),$Y104,$Y104+($Z104-$Y104)*(MAX(10,MIN(150,$C104))-INDEX('Flow Curves'!$A$5:$A$11,$W104))/(INDEX('Flow Curves'!$A$5:$A$11,$X104)-INDEX('Flow Curves'!$A$5:$A$11,$W104))))</f>
        <v>0</v>
      </c>
      <c r="P104" s="20" t="n">
        <f aca="false">IF(OR($B104="Air",$B104="Open Blow"),$O104*60*Cost!$D$16*Cost!$D$17/Cost!$D$5*Cost!$D$13,0)</f>
        <v>0</v>
      </c>
      <c r="Q104" s="17"/>
      <c r="U104" s="16" t="str">
        <f aca="false">IF($D104="","",IF(ISNA(MATCH($B104,Cost!$H$5:$H$11,0)),"CHECK GAS TYPE",IF(OR($C104&lt;10,$C104&gt;150),"CHECK PRESSURE: outside 10-150 psi table",IF(OR($D104&lt;1,$D104&gt;120),"CHECK dB: outside 1-120 table",IF(ISNA(MATCH($C104,'Flow Curves'!$A$5:$A$11,0)),"INTERPOLATED between curves","Table curve")))))</f>
        <v/>
      </c>
      <c r="W104" s="2" t="str">
        <f aca="false">IF(OR($D104="",$C104=""),"",MATCH(MAX(10,MIN(150,$C104)),'Flow Curves'!$A$5:$A$11,1))</f>
        <v/>
      </c>
      <c r="X104" s="2" t="str">
        <f aca="false">IF($W104="","",MIN($W104+1,7))</f>
        <v/>
      </c>
      <c r="Y104" s="2" t="str">
        <f aca="false">IF($W104="","",INDEX('Flow Curves'!$B$5:$B$11,$W104)*POWER($D104,INDEX('Flow Curves'!$C$5:$C$11,$W104)))</f>
        <v/>
      </c>
      <c r="Z104" s="2" t="str">
        <f aca="false">IF($W104="","",INDEX('Flow Curves'!$B$5:$B$11,$X104)*POWER($D104,INDEX('Flow Curves'!$C$5:$C$11,$X104)))</f>
        <v/>
      </c>
    </row>
    <row r="105" customFormat="false" ht="15" hidden="false" customHeight="false" outlineLevel="0" collapsed="false">
      <c r="A105" s="16" t="n">
        <v>98</v>
      </c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8" t="n">
        <f aca="false">IF($O105=0,0,$O105*60*Cost!$D$16*Cost!$D$17*IFERROR(INDEX(Cost!$I$5:$I$11,MATCH($B105,Cost!$H$5:$H$11,0)),0)/Cost!$D$5)</f>
        <v>0</v>
      </c>
      <c r="O105" s="19" t="n">
        <f aca="false">IF($W105="",0,IF(INDEX('Flow Curves'!$A$5:$A$11,$X105)=INDEX('Flow Curves'!$A$5:$A$11,$W105),$Y105,$Y105+($Z105-$Y105)*(MAX(10,MIN(150,$C105))-INDEX('Flow Curves'!$A$5:$A$11,$W105))/(INDEX('Flow Curves'!$A$5:$A$11,$X105)-INDEX('Flow Curves'!$A$5:$A$11,$W105))))</f>
        <v>0</v>
      </c>
      <c r="P105" s="20" t="n">
        <f aca="false">IF(OR($B105="Air",$B105="Open Blow"),$O105*60*Cost!$D$16*Cost!$D$17/Cost!$D$5*Cost!$D$13,0)</f>
        <v>0</v>
      </c>
      <c r="Q105" s="17"/>
      <c r="U105" s="16" t="str">
        <f aca="false">IF($D105="","",IF(ISNA(MATCH($B105,Cost!$H$5:$H$11,0)),"CHECK GAS TYPE",IF(OR($C105&lt;10,$C105&gt;150),"CHECK PRESSURE: outside 10-150 psi table",IF(OR($D105&lt;1,$D105&gt;120),"CHECK dB: outside 1-120 table",IF(ISNA(MATCH($C105,'Flow Curves'!$A$5:$A$11,0)),"INTERPOLATED between curves","Table curve")))))</f>
        <v/>
      </c>
      <c r="W105" s="2" t="str">
        <f aca="false">IF(OR($D105="",$C105=""),"",MATCH(MAX(10,MIN(150,$C105)),'Flow Curves'!$A$5:$A$11,1))</f>
        <v/>
      </c>
      <c r="X105" s="2" t="str">
        <f aca="false">IF($W105="","",MIN($W105+1,7))</f>
        <v/>
      </c>
      <c r="Y105" s="2" t="str">
        <f aca="false">IF($W105="","",INDEX('Flow Curves'!$B$5:$B$11,$W105)*POWER($D105,INDEX('Flow Curves'!$C$5:$C$11,$W105)))</f>
        <v/>
      </c>
      <c r="Z105" s="2" t="str">
        <f aca="false">IF($W105="","",INDEX('Flow Curves'!$B$5:$B$11,$X105)*POWER($D105,INDEX('Flow Curves'!$C$5:$C$11,$X105)))</f>
        <v/>
      </c>
    </row>
    <row r="106" customFormat="false" ht="15" hidden="false" customHeight="false" outlineLevel="0" collapsed="false">
      <c r="A106" s="16" t="n">
        <v>99</v>
      </c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8" t="n">
        <f aca="false">IF($O106=0,0,$O106*60*Cost!$D$16*Cost!$D$17*IFERROR(INDEX(Cost!$I$5:$I$11,MATCH($B106,Cost!$H$5:$H$11,0)),0)/Cost!$D$5)</f>
        <v>0</v>
      </c>
      <c r="O106" s="19" t="n">
        <f aca="false">IF($W106="",0,IF(INDEX('Flow Curves'!$A$5:$A$11,$X106)=INDEX('Flow Curves'!$A$5:$A$11,$W106),$Y106,$Y106+($Z106-$Y106)*(MAX(10,MIN(150,$C106))-INDEX('Flow Curves'!$A$5:$A$11,$W106))/(INDEX('Flow Curves'!$A$5:$A$11,$X106)-INDEX('Flow Curves'!$A$5:$A$11,$W106))))</f>
        <v>0</v>
      </c>
      <c r="P106" s="20" t="n">
        <f aca="false">IF(OR($B106="Air",$B106="Open Blow"),$O106*60*Cost!$D$16*Cost!$D$17/Cost!$D$5*Cost!$D$13,0)</f>
        <v>0</v>
      </c>
      <c r="Q106" s="17"/>
      <c r="U106" s="16" t="str">
        <f aca="false">IF($D106="","",IF(ISNA(MATCH($B106,Cost!$H$5:$H$11,0)),"CHECK GAS TYPE",IF(OR($C106&lt;10,$C106&gt;150),"CHECK PRESSURE: outside 10-150 psi table",IF(OR($D106&lt;1,$D106&gt;120),"CHECK dB: outside 1-120 table",IF(ISNA(MATCH($C106,'Flow Curves'!$A$5:$A$11,0)),"INTERPOLATED between curves","Table curve")))))</f>
        <v/>
      </c>
      <c r="W106" s="2" t="str">
        <f aca="false">IF(OR($D106="",$C106=""),"",MATCH(MAX(10,MIN(150,$C106)),'Flow Curves'!$A$5:$A$11,1))</f>
        <v/>
      </c>
      <c r="X106" s="2" t="str">
        <f aca="false">IF($W106="","",MIN($W106+1,7))</f>
        <v/>
      </c>
      <c r="Y106" s="2" t="str">
        <f aca="false">IF($W106="","",INDEX('Flow Curves'!$B$5:$B$11,$W106)*POWER($D106,INDEX('Flow Curves'!$C$5:$C$11,$W106)))</f>
        <v/>
      </c>
      <c r="Z106" s="2" t="str">
        <f aca="false">IF($W106="","",INDEX('Flow Curves'!$B$5:$B$11,$X106)*POWER($D106,INDEX('Flow Curves'!$C$5:$C$11,$X106)))</f>
        <v/>
      </c>
    </row>
    <row r="107" customFormat="false" ht="15" hidden="false" customHeight="false" outlineLevel="0" collapsed="false">
      <c r="A107" s="16" t="n">
        <v>100</v>
      </c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8" t="n">
        <f aca="false">IF($O107=0,0,$O107*60*Cost!$D$16*Cost!$D$17*IFERROR(INDEX(Cost!$I$5:$I$11,MATCH($B107,Cost!$H$5:$H$11,0)),0)/Cost!$D$5)</f>
        <v>0</v>
      </c>
      <c r="O107" s="19" t="n">
        <f aca="false">IF($W107="",0,IF(INDEX('Flow Curves'!$A$5:$A$11,$X107)=INDEX('Flow Curves'!$A$5:$A$11,$W107),$Y107,$Y107+($Z107-$Y107)*(MAX(10,MIN(150,$C107))-INDEX('Flow Curves'!$A$5:$A$11,$W107))/(INDEX('Flow Curves'!$A$5:$A$11,$X107)-INDEX('Flow Curves'!$A$5:$A$11,$W107))))</f>
        <v>0</v>
      </c>
      <c r="P107" s="20" t="n">
        <f aca="false">IF(OR($B107="Air",$B107="Open Blow"),$O107*60*Cost!$D$16*Cost!$D$17/Cost!$D$5*Cost!$D$13,0)</f>
        <v>0</v>
      </c>
      <c r="Q107" s="17"/>
      <c r="U107" s="16" t="str">
        <f aca="false">IF($D107="","",IF(ISNA(MATCH($B107,Cost!$H$5:$H$11,0)),"CHECK GAS TYPE",IF(OR($C107&lt;10,$C107&gt;150),"CHECK PRESSURE: outside 10-150 psi table",IF(OR($D107&lt;1,$D107&gt;120),"CHECK dB: outside 1-120 table",IF(ISNA(MATCH($C107,'Flow Curves'!$A$5:$A$11,0)),"INTERPOLATED between curves","Table curve")))))</f>
        <v/>
      </c>
      <c r="W107" s="2" t="str">
        <f aca="false">IF(OR($D107="",$C107=""),"",MATCH(MAX(10,MIN(150,$C107)),'Flow Curves'!$A$5:$A$11,1))</f>
        <v/>
      </c>
      <c r="X107" s="2" t="str">
        <f aca="false">IF($W107="","",MIN($W107+1,7))</f>
        <v/>
      </c>
      <c r="Y107" s="2" t="str">
        <f aca="false">IF($W107="","",INDEX('Flow Curves'!$B$5:$B$11,$W107)*POWER($D107,INDEX('Flow Curves'!$C$5:$C$11,$W107)))</f>
        <v/>
      </c>
      <c r="Z107" s="2" t="str">
        <f aca="false">IF($W107="","",INDEX('Flow Curves'!$B$5:$B$11,$X107)*POWER($D107,INDEX('Flow Curves'!$C$5:$C$11,$X107)))</f>
        <v/>
      </c>
    </row>
    <row r="108" customFormat="false" ht="15" hidden="false" customHeight="false" outlineLevel="0" collapsed="false">
      <c r="A108" s="16" t="n">
        <v>101</v>
      </c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8" t="n">
        <f aca="false">IF($O108=0,0,$O108*60*Cost!$D$16*Cost!$D$17*IFERROR(INDEX(Cost!$I$5:$I$11,MATCH($B108,Cost!$H$5:$H$11,0)),0)/Cost!$D$5)</f>
        <v>0</v>
      </c>
      <c r="O108" s="19" t="n">
        <f aca="false">IF($W108="",0,IF(INDEX('Flow Curves'!$A$5:$A$11,$X108)=INDEX('Flow Curves'!$A$5:$A$11,$W108),$Y108,$Y108+($Z108-$Y108)*(MAX(10,MIN(150,$C108))-INDEX('Flow Curves'!$A$5:$A$11,$W108))/(INDEX('Flow Curves'!$A$5:$A$11,$X108)-INDEX('Flow Curves'!$A$5:$A$11,$W108))))</f>
        <v>0</v>
      </c>
      <c r="P108" s="20" t="n">
        <f aca="false">IF(OR($B108="Air",$B108="Open Blow"),$O108*60*Cost!$D$16*Cost!$D$17/Cost!$D$5*Cost!$D$13,0)</f>
        <v>0</v>
      </c>
      <c r="Q108" s="17"/>
      <c r="U108" s="16" t="str">
        <f aca="false">IF($D108="","",IF(ISNA(MATCH($B108,Cost!$H$5:$H$11,0)),"CHECK GAS TYPE",IF(OR($C108&lt;10,$C108&gt;150),"CHECK PRESSURE: outside 10-150 psi table",IF(OR($D108&lt;1,$D108&gt;120),"CHECK dB: outside 1-120 table",IF(ISNA(MATCH($C108,'Flow Curves'!$A$5:$A$11,0)),"INTERPOLATED between curves","Table curve")))))</f>
        <v/>
      </c>
      <c r="W108" s="2" t="str">
        <f aca="false">IF(OR($D108="",$C108=""),"",MATCH(MAX(10,MIN(150,$C108)),'Flow Curves'!$A$5:$A$11,1))</f>
        <v/>
      </c>
      <c r="X108" s="2" t="str">
        <f aca="false">IF($W108="","",MIN($W108+1,7))</f>
        <v/>
      </c>
      <c r="Y108" s="2" t="str">
        <f aca="false">IF($W108="","",INDEX('Flow Curves'!$B$5:$B$11,$W108)*POWER($D108,INDEX('Flow Curves'!$C$5:$C$11,$W108)))</f>
        <v/>
      </c>
      <c r="Z108" s="2" t="str">
        <f aca="false">IF($W108="","",INDEX('Flow Curves'!$B$5:$B$11,$X108)*POWER($D108,INDEX('Flow Curves'!$C$5:$C$11,$X108)))</f>
        <v/>
      </c>
    </row>
    <row r="109" customFormat="false" ht="15" hidden="false" customHeight="false" outlineLevel="0" collapsed="false">
      <c r="A109" s="16" t="n">
        <v>102</v>
      </c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8" t="n">
        <f aca="false">IF($O109=0,0,$O109*60*Cost!$D$16*Cost!$D$17*IFERROR(INDEX(Cost!$I$5:$I$11,MATCH($B109,Cost!$H$5:$H$11,0)),0)/Cost!$D$5)</f>
        <v>0</v>
      </c>
      <c r="O109" s="19" t="n">
        <f aca="false">IF($W109="",0,IF(INDEX('Flow Curves'!$A$5:$A$11,$X109)=INDEX('Flow Curves'!$A$5:$A$11,$W109),$Y109,$Y109+($Z109-$Y109)*(MAX(10,MIN(150,$C109))-INDEX('Flow Curves'!$A$5:$A$11,$W109))/(INDEX('Flow Curves'!$A$5:$A$11,$X109)-INDEX('Flow Curves'!$A$5:$A$11,$W109))))</f>
        <v>0</v>
      </c>
      <c r="P109" s="20" t="n">
        <f aca="false">IF(OR($B109="Air",$B109="Open Blow"),$O109*60*Cost!$D$16*Cost!$D$17/Cost!$D$5*Cost!$D$13,0)</f>
        <v>0</v>
      </c>
      <c r="Q109" s="17"/>
      <c r="U109" s="16" t="str">
        <f aca="false">IF($D109="","",IF(ISNA(MATCH($B109,Cost!$H$5:$H$11,0)),"CHECK GAS TYPE",IF(OR($C109&lt;10,$C109&gt;150),"CHECK PRESSURE: outside 10-150 psi table",IF(OR($D109&lt;1,$D109&gt;120),"CHECK dB: outside 1-120 table",IF(ISNA(MATCH($C109,'Flow Curves'!$A$5:$A$11,0)),"INTERPOLATED between curves","Table curve")))))</f>
        <v/>
      </c>
      <c r="W109" s="2" t="str">
        <f aca="false">IF(OR($D109="",$C109=""),"",MATCH(MAX(10,MIN(150,$C109)),'Flow Curves'!$A$5:$A$11,1))</f>
        <v/>
      </c>
      <c r="X109" s="2" t="str">
        <f aca="false">IF($W109="","",MIN($W109+1,7))</f>
        <v/>
      </c>
      <c r="Y109" s="2" t="str">
        <f aca="false">IF($W109="","",INDEX('Flow Curves'!$B$5:$B$11,$W109)*POWER($D109,INDEX('Flow Curves'!$C$5:$C$11,$W109)))</f>
        <v/>
      </c>
      <c r="Z109" s="2" t="str">
        <f aca="false">IF($W109="","",INDEX('Flow Curves'!$B$5:$B$11,$X109)*POWER($D109,INDEX('Flow Curves'!$C$5:$C$11,$X109)))</f>
        <v/>
      </c>
    </row>
    <row r="110" customFormat="false" ht="15" hidden="false" customHeight="false" outlineLevel="0" collapsed="false">
      <c r="A110" s="16" t="n">
        <v>103</v>
      </c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8" t="n">
        <f aca="false">IF($O110=0,0,$O110*60*Cost!$D$16*Cost!$D$17*IFERROR(INDEX(Cost!$I$5:$I$11,MATCH($B110,Cost!$H$5:$H$11,0)),0)/Cost!$D$5)</f>
        <v>0</v>
      </c>
      <c r="O110" s="19" t="n">
        <f aca="false">IF($W110="",0,IF(INDEX('Flow Curves'!$A$5:$A$11,$X110)=INDEX('Flow Curves'!$A$5:$A$11,$W110),$Y110,$Y110+($Z110-$Y110)*(MAX(10,MIN(150,$C110))-INDEX('Flow Curves'!$A$5:$A$11,$W110))/(INDEX('Flow Curves'!$A$5:$A$11,$X110)-INDEX('Flow Curves'!$A$5:$A$11,$W110))))</f>
        <v>0</v>
      </c>
      <c r="P110" s="20" t="n">
        <f aca="false">IF(OR($B110="Air",$B110="Open Blow"),$O110*60*Cost!$D$16*Cost!$D$17/Cost!$D$5*Cost!$D$13,0)</f>
        <v>0</v>
      </c>
      <c r="Q110" s="17"/>
      <c r="U110" s="16" t="str">
        <f aca="false">IF($D110="","",IF(ISNA(MATCH($B110,Cost!$H$5:$H$11,0)),"CHECK GAS TYPE",IF(OR($C110&lt;10,$C110&gt;150),"CHECK PRESSURE: outside 10-150 psi table",IF(OR($D110&lt;1,$D110&gt;120),"CHECK dB: outside 1-120 table",IF(ISNA(MATCH($C110,'Flow Curves'!$A$5:$A$11,0)),"INTERPOLATED between curves","Table curve")))))</f>
        <v/>
      </c>
      <c r="W110" s="2" t="str">
        <f aca="false">IF(OR($D110="",$C110=""),"",MATCH(MAX(10,MIN(150,$C110)),'Flow Curves'!$A$5:$A$11,1))</f>
        <v/>
      </c>
      <c r="X110" s="2" t="str">
        <f aca="false">IF($W110="","",MIN($W110+1,7))</f>
        <v/>
      </c>
      <c r="Y110" s="2" t="str">
        <f aca="false">IF($W110="","",INDEX('Flow Curves'!$B$5:$B$11,$W110)*POWER($D110,INDEX('Flow Curves'!$C$5:$C$11,$W110)))</f>
        <v/>
      </c>
      <c r="Z110" s="2" t="str">
        <f aca="false">IF($W110="","",INDEX('Flow Curves'!$B$5:$B$11,$X110)*POWER($D110,INDEX('Flow Curves'!$C$5:$C$11,$X110)))</f>
        <v/>
      </c>
    </row>
    <row r="111" customFormat="false" ht="15" hidden="false" customHeight="false" outlineLevel="0" collapsed="false">
      <c r="A111" s="16" t="n">
        <v>104</v>
      </c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8" t="n">
        <f aca="false">IF($O111=0,0,$O111*60*Cost!$D$16*Cost!$D$17*IFERROR(INDEX(Cost!$I$5:$I$11,MATCH($B111,Cost!$H$5:$H$11,0)),0)/Cost!$D$5)</f>
        <v>0</v>
      </c>
      <c r="O111" s="19" t="n">
        <f aca="false">IF($W111="",0,IF(INDEX('Flow Curves'!$A$5:$A$11,$X111)=INDEX('Flow Curves'!$A$5:$A$11,$W111),$Y111,$Y111+($Z111-$Y111)*(MAX(10,MIN(150,$C111))-INDEX('Flow Curves'!$A$5:$A$11,$W111))/(INDEX('Flow Curves'!$A$5:$A$11,$X111)-INDEX('Flow Curves'!$A$5:$A$11,$W111))))</f>
        <v>0</v>
      </c>
      <c r="P111" s="20" t="n">
        <f aca="false">IF(OR($B111="Air",$B111="Open Blow"),$O111*60*Cost!$D$16*Cost!$D$17/Cost!$D$5*Cost!$D$13,0)</f>
        <v>0</v>
      </c>
      <c r="Q111" s="17"/>
      <c r="U111" s="16" t="str">
        <f aca="false">IF($D111="","",IF(ISNA(MATCH($B111,Cost!$H$5:$H$11,0)),"CHECK GAS TYPE",IF(OR($C111&lt;10,$C111&gt;150),"CHECK PRESSURE: outside 10-150 psi table",IF(OR($D111&lt;1,$D111&gt;120),"CHECK dB: outside 1-120 table",IF(ISNA(MATCH($C111,'Flow Curves'!$A$5:$A$11,0)),"INTERPOLATED between curves","Table curve")))))</f>
        <v/>
      </c>
      <c r="W111" s="2" t="str">
        <f aca="false">IF(OR($D111="",$C111=""),"",MATCH(MAX(10,MIN(150,$C111)),'Flow Curves'!$A$5:$A$11,1))</f>
        <v/>
      </c>
      <c r="X111" s="2" t="str">
        <f aca="false">IF($W111="","",MIN($W111+1,7))</f>
        <v/>
      </c>
      <c r="Y111" s="2" t="str">
        <f aca="false">IF($W111="","",INDEX('Flow Curves'!$B$5:$B$11,$W111)*POWER($D111,INDEX('Flow Curves'!$C$5:$C$11,$W111)))</f>
        <v/>
      </c>
      <c r="Z111" s="2" t="str">
        <f aca="false">IF($W111="","",INDEX('Flow Curves'!$B$5:$B$11,$X111)*POWER($D111,INDEX('Flow Curves'!$C$5:$C$11,$X111)))</f>
        <v/>
      </c>
    </row>
    <row r="112" customFormat="false" ht="15" hidden="false" customHeight="false" outlineLevel="0" collapsed="false">
      <c r="A112" s="16" t="n">
        <v>105</v>
      </c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8" t="n">
        <f aca="false">IF($O112=0,0,$O112*60*Cost!$D$16*Cost!$D$17*IFERROR(INDEX(Cost!$I$5:$I$11,MATCH($B112,Cost!$H$5:$H$11,0)),0)/Cost!$D$5)</f>
        <v>0</v>
      </c>
      <c r="O112" s="19" t="n">
        <f aca="false">IF($W112="",0,IF(INDEX('Flow Curves'!$A$5:$A$11,$X112)=INDEX('Flow Curves'!$A$5:$A$11,$W112),$Y112,$Y112+($Z112-$Y112)*(MAX(10,MIN(150,$C112))-INDEX('Flow Curves'!$A$5:$A$11,$W112))/(INDEX('Flow Curves'!$A$5:$A$11,$X112)-INDEX('Flow Curves'!$A$5:$A$11,$W112))))</f>
        <v>0</v>
      </c>
      <c r="P112" s="20" t="n">
        <f aca="false">IF(OR($B112="Air",$B112="Open Blow"),$O112*60*Cost!$D$16*Cost!$D$17/Cost!$D$5*Cost!$D$13,0)</f>
        <v>0</v>
      </c>
      <c r="Q112" s="17"/>
      <c r="U112" s="16" t="str">
        <f aca="false">IF($D112="","",IF(ISNA(MATCH($B112,Cost!$H$5:$H$11,0)),"CHECK GAS TYPE",IF(OR($C112&lt;10,$C112&gt;150),"CHECK PRESSURE: outside 10-150 psi table",IF(OR($D112&lt;1,$D112&gt;120),"CHECK dB: outside 1-120 table",IF(ISNA(MATCH($C112,'Flow Curves'!$A$5:$A$11,0)),"INTERPOLATED between curves","Table curve")))))</f>
        <v/>
      </c>
      <c r="W112" s="2" t="str">
        <f aca="false">IF(OR($D112="",$C112=""),"",MATCH(MAX(10,MIN(150,$C112)),'Flow Curves'!$A$5:$A$11,1))</f>
        <v/>
      </c>
      <c r="X112" s="2" t="str">
        <f aca="false">IF($W112="","",MIN($W112+1,7))</f>
        <v/>
      </c>
      <c r="Y112" s="2" t="str">
        <f aca="false">IF($W112="","",INDEX('Flow Curves'!$B$5:$B$11,$W112)*POWER($D112,INDEX('Flow Curves'!$C$5:$C$11,$W112)))</f>
        <v/>
      </c>
      <c r="Z112" s="2" t="str">
        <f aca="false">IF($W112="","",INDEX('Flow Curves'!$B$5:$B$11,$X112)*POWER($D112,INDEX('Flow Curves'!$C$5:$C$11,$X112)))</f>
        <v/>
      </c>
    </row>
    <row r="113" customFormat="false" ht="15" hidden="false" customHeight="false" outlineLevel="0" collapsed="false">
      <c r="A113" s="16" t="n">
        <v>106</v>
      </c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8" t="n">
        <f aca="false">IF($O113=0,0,$O113*60*Cost!$D$16*Cost!$D$17*IFERROR(INDEX(Cost!$I$5:$I$11,MATCH($B113,Cost!$H$5:$H$11,0)),0)/Cost!$D$5)</f>
        <v>0</v>
      </c>
      <c r="O113" s="19" t="n">
        <f aca="false">IF($W113="",0,IF(INDEX('Flow Curves'!$A$5:$A$11,$X113)=INDEX('Flow Curves'!$A$5:$A$11,$W113),$Y113,$Y113+($Z113-$Y113)*(MAX(10,MIN(150,$C113))-INDEX('Flow Curves'!$A$5:$A$11,$W113))/(INDEX('Flow Curves'!$A$5:$A$11,$X113)-INDEX('Flow Curves'!$A$5:$A$11,$W113))))</f>
        <v>0</v>
      </c>
      <c r="P113" s="20" t="n">
        <f aca="false">IF(OR($B113="Air",$B113="Open Blow"),$O113*60*Cost!$D$16*Cost!$D$17/Cost!$D$5*Cost!$D$13,0)</f>
        <v>0</v>
      </c>
      <c r="Q113" s="17"/>
      <c r="U113" s="16" t="str">
        <f aca="false">IF($D113="","",IF(ISNA(MATCH($B113,Cost!$H$5:$H$11,0)),"CHECK GAS TYPE",IF(OR($C113&lt;10,$C113&gt;150),"CHECK PRESSURE: outside 10-150 psi table",IF(OR($D113&lt;1,$D113&gt;120),"CHECK dB: outside 1-120 table",IF(ISNA(MATCH($C113,'Flow Curves'!$A$5:$A$11,0)),"INTERPOLATED between curves","Table curve")))))</f>
        <v/>
      </c>
      <c r="W113" s="2" t="str">
        <f aca="false">IF(OR($D113="",$C113=""),"",MATCH(MAX(10,MIN(150,$C113)),'Flow Curves'!$A$5:$A$11,1))</f>
        <v/>
      </c>
      <c r="X113" s="2" t="str">
        <f aca="false">IF($W113="","",MIN($W113+1,7))</f>
        <v/>
      </c>
      <c r="Y113" s="2" t="str">
        <f aca="false">IF($W113="","",INDEX('Flow Curves'!$B$5:$B$11,$W113)*POWER($D113,INDEX('Flow Curves'!$C$5:$C$11,$W113)))</f>
        <v/>
      </c>
      <c r="Z113" s="2" t="str">
        <f aca="false">IF($W113="","",INDEX('Flow Curves'!$B$5:$B$11,$X113)*POWER($D113,INDEX('Flow Curves'!$C$5:$C$11,$X113)))</f>
        <v/>
      </c>
    </row>
    <row r="114" customFormat="false" ht="15" hidden="false" customHeight="false" outlineLevel="0" collapsed="false">
      <c r="A114" s="16" t="n">
        <v>107</v>
      </c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8" t="n">
        <f aca="false">IF($O114=0,0,$O114*60*Cost!$D$16*Cost!$D$17*IFERROR(INDEX(Cost!$I$5:$I$11,MATCH($B114,Cost!$H$5:$H$11,0)),0)/Cost!$D$5)</f>
        <v>0</v>
      </c>
      <c r="O114" s="19" t="n">
        <f aca="false">IF($W114="",0,IF(INDEX('Flow Curves'!$A$5:$A$11,$X114)=INDEX('Flow Curves'!$A$5:$A$11,$W114),$Y114,$Y114+($Z114-$Y114)*(MAX(10,MIN(150,$C114))-INDEX('Flow Curves'!$A$5:$A$11,$W114))/(INDEX('Flow Curves'!$A$5:$A$11,$X114)-INDEX('Flow Curves'!$A$5:$A$11,$W114))))</f>
        <v>0</v>
      </c>
      <c r="P114" s="20" t="n">
        <f aca="false">IF(OR($B114="Air",$B114="Open Blow"),$O114*60*Cost!$D$16*Cost!$D$17/Cost!$D$5*Cost!$D$13,0)</f>
        <v>0</v>
      </c>
      <c r="Q114" s="17"/>
      <c r="U114" s="16" t="str">
        <f aca="false">IF($D114="","",IF(ISNA(MATCH($B114,Cost!$H$5:$H$11,0)),"CHECK GAS TYPE",IF(OR($C114&lt;10,$C114&gt;150),"CHECK PRESSURE: outside 10-150 psi table",IF(OR($D114&lt;1,$D114&gt;120),"CHECK dB: outside 1-120 table",IF(ISNA(MATCH($C114,'Flow Curves'!$A$5:$A$11,0)),"INTERPOLATED between curves","Table curve")))))</f>
        <v/>
      </c>
      <c r="W114" s="2" t="str">
        <f aca="false">IF(OR($D114="",$C114=""),"",MATCH(MAX(10,MIN(150,$C114)),'Flow Curves'!$A$5:$A$11,1))</f>
        <v/>
      </c>
      <c r="X114" s="2" t="str">
        <f aca="false">IF($W114="","",MIN($W114+1,7))</f>
        <v/>
      </c>
      <c r="Y114" s="2" t="str">
        <f aca="false">IF($W114="","",INDEX('Flow Curves'!$B$5:$B$11,$W114)*POWER($D114,INDEX('Flow Curves'!$C$5:$C$11,$W114)))</f>
        <v/>
      </c>
      <c r="Z114" s="2" t="str">
        <f aca="false">IF($W114="","",INDEX('Flow Curves'!$B$5:$B$11,$X114)*POWER($D114,INDEX('Flow Curves'!$C$5:$C$11,$X114)))</f>
        <v/>
      </c>
    </row>
    <row r="115" customFormat="false" ht="15" hidden="false" customHeight="false" outlineLevel="0" collapsed="false">
      <c r="A115" s="16" t="n">
        <v>108</v>
      </c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8" t="n">
        <f aca="false">IF($O115=0,0,$O115*60*Cost!$D$16*Cost!$D$17*IFERROR(INDEX(Cost!$I$5:$I$11,MATCH($B115,Cost!$H$5:$H$11,0)),0)/Cost!$D$5)</f>
        <v>0</v>
      </c>
      <c r="O115" s="19" t="n">
        <f aca="false">IF($W115="",0,IF(INDEX('Flow Curves'!$A$5:$A$11,$X115)=INDEX('Flow Curves'!$A$5:$A$11,$W115),$Y115,$Y115+($Z115-$Y115)*(MAX(10,MIN(150,$C115))-INDEX('Flow Curves'!$A$5:$A$11,$W115))/(INDEX('Flow Curves'!$A$5:$A$11,$X115)-INDEX('Flow Curves'!$A$5:$A$11,$W115))))</f>
        <v>0</v>
      </c>
      <c r="P115" s="20" t="n">
        <f aca="false">IF(OR($B115="Air",$B115="Open Blow"),$O115*60*Cost!$D$16*Cost!$D$17/Cost!$D$5*Cost!$D$13,0)</f>
        <v>0</v>
      </c>
      <c r="Q115" s="17"/>
      <c r="U115" s="16" t="str">
        <f aca="false">IF($D115="","",IF(ISNA(MATCH($B115,Cost!$H$5:$H$11,0)),"CHECK GAS TYPE",IF(OR($C115&lt;10,$C115&gt;150),"CHECK PRESSURE: outside 10-150 psi table",IF(OR($D115&lt;1,$D115&gt;120),"CHECK dB: outside 1-120 table",IF(ISNA(MATCH($C115,'Flow Curves'!$A$5:$A$11,0)),"INTERPOLATED between curves","Table curve")))))</f>
        <v/>
      </c>
      <c r="W115" s="2" t="str">
        <f aca="false">IF(OR($D115="",$C115=""),"",MATCH(MAX(10,MIN(150,$C115)),'Flow Curves'!$A$5:$A$11,1))</f>
        <v/>
      </c>
      <c r="X115" s="2" t="str">
        <f aca="false">IF($W115="","",MIN($W115+1,7))</f>
        <v/>
      </c>
      <c r="Y115" s="2" t="str">
        <f aca="false">IF($W115="","",INDEX('Flow Curves'!$B$5:$B$11,$W115)*POWER($D115,INDEX('Flow Curves'!$C$5:$C$11,$W115)))</f>
        <v/>
      </c>
      <c r="Z115" s="2" t="str">
        <f aca="false">IF($W115="","",INDEX('Flow Curves'!$B$5:$B$11,$X115)*POWER($D115,INDEX('Flow Curves'!$C$5:$C$11,$X115)))</f>
        <v/>
      </c>
    </row>
    <row r="116" customFormat="false" ht="15" hidden="false" customHeight="false" outlineLevel="0" collapsed="false">
      <c r="A116" s="16" t="n">
        <v>109</v>
      </c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8" t="n">
        <f aca="false">IF($O116=0,0,$O116*60*Cost!$D$16*Cost!$D$17*IFERROR(INDEX(Cost!$I$5:$I$11,MATCH($B116,Cost!$H$5:$H$11,0)),0)/Cost!$D$5)</f>
        <v>0</v>
      </c>
      <c r="O116" s="19" t="n">
        <f aca="false">IF($W116="",0,IF(INDEX('Flow Curves'!$A$5:$A$11,$X116)=INDEX('Flow Curves'!$A$5:$A$11,$W116),$Y116,$Y116+($Z116-$Y116)*(MAX(10,MIN(150,$C116))-INDEX('Flow Curves'!$A$5:$A$11,$W116))/(INDEX('Flow Curves'!$A$5:$A$11,$X116)-INDEX('Flow Curves'!$A$5:$A$11,$W116))))</f>
        <v>0</v>
      </c>
      <c r="P116" s="20" t="n">
        <f aca="false">IF(OR($B116="Air",$B116="Open Blow"),$O116*60*Cost!$D$16*Cost!$D$17/Cost!$D$5*Cost!$D$13,0)</f>
        <v>0</v>
      </c>
      <c r="Q116" s="17"/>
      <c r="U116" s="16" t="str">
        <f aca="false">IF($D116="","",IF(ISNA(MATCH($B116,Cost!$H$5:$H$11,0)),"CHECK GAS TYPE",IF(OR($C116&lt;10,$C116&gt;150),"CHECK PRESSURE: outside 10-150 psi table",IF(OR($D116&lt;1,$D116&gt;120),"CHECK dB: outside 1-120 table",IF(ISNA(MATCH($C116,'Flow Curves'!$A$5:$A$11,0)),"INTERPOLATED between curves","Table curve")))))</f>
        <v/>
      </c>
      <c r="W116" s="2" t="str">
        <f aca="false">IF(OR($D116="",$C116=""),"",MATCH(MAX(10,MIN(150,$C116)),'Flow Curves'!$A$5:$A$11,1))</f>
        <v/>
      </c>
      <c r="X116" s="2" t="str">
        <f aca="false">IF($W116="","",MIN($W116+1,7))</f>
        <v/>
      </c>
      <c r="Y116" s="2" t="str">
        <f aca="false">IF($W116="","",INDEX('Flow Curves'!$B$5:$B$11,$W116)*POWER($D116,INDEX('Flow Curves'!$C$5:$C$11,$W116)))</f>
        <v/>
      </c>
      <c r="Z116" s="2" t="str">
        <f aca="false">IF($W116="","",INDEX('Flow Curves'!$B$5:$B$11,$X116)*POWER($D116,INDEX('Flow Curves'!$C$5:$C$11,$X116)))</f>
        <v/>
      </c>
    </row>
    <row r="117" customFormat="false" ht="15" hidden="false" customHeight="false" outlineLevel="0" collapsed="false">
      <c r="A117" s="16" t="n">
        <v>110</v>
      </c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8" t="n">
        <f aca="false">IF($O117=0,0,$O117*60*Cost!$D$16*Cost!$D$17*IFERROR(INDEX(Cost!$I$5:$I$11,MATCH($B117,Cost!$H$5:$H$11,0)),0)/Cost!$D$5)</f>
        <v>0</v>
      </c>
      <c r="O117" s="19" t="n">
        <f aca="false">IF($W117="",0,IF(INDEX('Flow Curves'!$A$5:$A$11,$X117)=INDEX('Flow Curves'!$A$5:$A$11,$W117),$Y117,$Y117+($Z117-$Y117)*(MAX(10,MIN(150,$C117))-INDEX('Flow Curves'!$A$5:$A$11,$W117))/(INDEX('Flow Curves'!$A$5:$A$11,$X117)-INDEX('Flow Curves'!$A$5:$A$11,$W117))))</f>
        <v>0</v>
      </c>
      <c r="P117" s="20" t="n">
        <f aca="false">IF(OR($B117="Air",$B117="Open Blow"),$O117*60*Cost!$D$16*Cost!$D$17/Cost!$D$5*Cost!$D$13,0)</f>
        <v>0</v>
      </c>
      <c r="Q117" s="17"/>
      <c r="U117" s="16" t="str">
        <f aca="false">IF($D117="","",IF(ISNA(MATCH($B117,Cost!$H$5:$H$11,0)),"CHECK GAS TYPE",IF(OR($C117&lt;10,$C117&gt;150),"CHECK PRESSURE: outside 10-150 psi table",IF(OR($D117&lt;1,$D117&gt;120),"CHECK dB: outside 1-120 table",IF(ISNA(MATCH($C117,'Flow Curves'!$A$5:$A$11,0)),"INTERPOLATED between curves","Table curve")))))</f>
        <v/>
      </c>
      <c r="W117" s="2" t="str">
        <f aca="false">IF(OR($D117="",$C117=""),"",MATCH(MAX(10,MIN(150,$C117)),'Flow Curves'!$A$5:$A$11,1))</f>
        <v/>
      </c>
      <c r="X117" s="2" t="str">
        <f aca="false">IF($W117="","",MIN($W117+1,7))</f>
        <v/>
      </c>
      <c r="Y117" s="2" t="str">
        <f aca="false">IF($W117="","",INDEX('Flow Curves'!$B$5:$B$11,$W117)*POWER($D117,INDEX('Flow Curves'!$C$5:$C$11,$W117)))</f>
        <v/>
      </c>
      <c r="Z117" s="2" t="str">
        <f aca="false">IF($W117="","",INDEX('Flow Curves'!$B$5:$B$11,$X117)*POWER($D117,INDEX('Flow Curves'!$C$5:$C$11,$X117)))</f>
        <v/>
      </c>
    </row>
    <row r="118" customFormat="false" ht="15" hidden="false" customHeight="false" outlineLevel="0" collapsed="false">
      <c r="A118" s="16" t="n">
        <v>111</v>
      </c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8" t="n">
        <f aca="false">IF($O118=0,0,$O118*60*Cost!$D$16*Cost!$D$17*IFERROR(INDEX(Cost!$I$5:$I$11,MATCH($B118,Cost!$H$5:$H$11,0)),0)/Cost!$D$5)</f>
        <v>0</v>
      </c>
      <c r="O118" s="19" t="n">
        <f aca="false">IF($W118="",0,IF(INDEX('Flow Curves'!$A$5:$A$11,$X118)=INDEX('Flow Curves'!$A$5:$A$11,$W118),$Y118,$Y118+($Z118-$Y118)*(MAX(10,MIN(150,$C118))-INDEX('Flow Curves'!$A$5:$A$11,$W118))/(INDEX('Flow Curves'!$A$5:$A$11,$X118)-INDEX('Flow Curves'!$A$5:$A$11,$W118))))</f>
        <v>0</v>
      </c>
      <c r="P118" s="20" t="n">
        <f aca="false">IF(OR($B118="Air",$B118="Open Blow"),$O118*60*Cost!$D$16*Cost!$D$17/Cost!$D$5*Cost!$D$13,0)</f>
        <v>0</v>
      </c>
      <c r="Q118" s="17"/>
      <c r="U118" s="16" t="str">
        <f aca="false">IF($D118="","",IF(ISNA(MATCH($B118,Cost!$H$5:$H$11,0)),"CHECK GAS TYPE",IF(OR($C118&lt;10,$C118&gt;150),"CHECK PRESSURE: outside 10-150 psi table",IF(OR($D118&lt;1,$D118&gt;120),"CHECK dB: outside 1-120 table",IF(ISNA(MATCH($C118,'Flow Curves'!$A$5:$A$11,0)),"INTERPOLATED between curves","Table curve")))))</f>
        <v/>
      </c>
      <c r="W118" s="2" t="str">
        <f aca="false">IF(OR($D118="",$C118=""),"",MATCH(MAX(10,MIN(150,$C118)),'Flow Curves'!$A$5:$A$11,1))</f>
        <v/>
      </c>
      <c r="X118" s="2" t="str">
        <f aca="false">IF($W118="","",MIN($W118+1,7))</f>
        <v/>
      </c>
      <c r="Y118" s="2" t="str">
        <f aca="false">IF($W118="","",INDEX('Flow Curves'!$B$5:$B$11,$W118)*POWER($D118,INDEX('Flow Curves'!$C$5:$C$11,$W118)))</f>
        <v/>
      </c>
      <c r="Z118" s="2" t="str">
        <f aca="false">IF($W118="","",INDEX('Flow Curves'!$B$5:$B$11,$X118)*POWER($D118,INDEX('Flow Curves'!$C$5:$C$11,$X118)))</f>
        <v/>
      </c>
    </row>
    <row r="119" customFormat="false" ht="15" hidden="false" customHeight="false" outlineLevel="0" collapsed="false">
      <c r="A119" s="16" t="n">
        <v>112</v>
      </c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8" t="n">
        <f aca="false">IF($O119=0,0,$O119*60*Cost!$D$16*Cost!$D$17*IFERROR(INDEX(Cost!$I$5:$I$11,MATCH($B119,Cost!$H$5:$H$11,0)),0)/Cost!$D$5)</f>
        <v>0</v>
      </c>
      <c r="O119" s="19" t="n">
        <f aca="false">IF($W119="",0,IF(INDEX('Flow Curves'!$A$5:$A$11,$X119)=INDEX('Flow Curves'!$A$5:$A$11,$W119),$Y119,$Y119+($Z119-$Y119)*(MAX(10,MIN(150,$C119))-INDEX('Flow Curves'!$A$5:$A$11,$W119))/(INDEX('Flow Curves'!$A$5:$A$11,$X119)-INDEX('Flow Curves'!$A$5:$A$11,$W119))))</f>
        <v>0</v>
      </c>
      <c r="P119" s="20" t="n">
        <f aca="false">IF(OR($B119="Air",$B119="Open Blow"),$O119*60*Cost!$D$16*Cost!$D$17/Cost!$D$5*Cost!$D$13,0)</f>
        <v>0</v>
      </c>
      <c r="Q119" s="17"/>
      <c r="U119" s="16" t="str">
        <f aca="false">IF($D119="","",IF(ISNA(MATCH($B119,Cost!$H$5:$H$11,0)),"CHECK GAS TYPE",IF(OR($C119&lt;10,$C119&gt;150),"CHECK PRESSURE: outside 10-150 psi table",IF(OR($D119&lt;1,$D119&gt;120),"CHECK dB: outside 1-120 table",IF(ISNA(MATCH($C119,'Flow Curves'!$A$5:$A$11,0)),"INTERPOLATED between curves","Table curve")))))</f>
        <v/>
      </c>
      <c r="W119" s="2" t="str">
        <f aca="false">IF(OR($D119="",$C119=""),"",MATCH(MAX(10,MIN(150,$C119)),'Flow Curves'!$A$5:$A$11,1))</f>
        <v/>
      </c>
      <c r="X119" s="2" t="str">
        <f aca="false">IF($W119="","",MIN($W119+1,7))</f>
        <v/>
      </c>
      <c r="Y119" s="2" t="str">
        <f aca="false">IF($W119="","",INDEX('Flow Curves'!$B$5:$B$11,$W119)*POWER($D119,INDEX('Flow Curves'!$C$5:$C$11,$W119)))</f>
        <v/>
      </c>
      <c r="Z119" s="2" t="str">
        <f aca="false">IF($W119="","",INDEX('Flow Curves'!$B$5:$B$11,$X119)*POWER($D119,INDEX('Flow Curves'!$C$5:$C$11,$X119)))</f>
        <v/>
      </c>
    </row>
    <row r="120" customFormat="false" ht="15" hidden="false" customHeight="false" outlineLevel="0" collapsed="false">
      <c r="A120" s="16" t="n">
        <v>113</v>
      </c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8" t="n">
        <f aca="false">IF($O120=0,0,$O120*60*Cost!$D$16*Cost!$D$17*IFERROR(INDEX(Cost!$I$5:$I$11,MATCH($B120,Cost!$H$5:$H$11,0)),0)/Cost!$D$5)</f>
        <v>0</v>
      </c>
      <c r="O120" s="19" t="n">
        <f aca="false">IF($W120="",0,IF(INDEX('Flow Curves'!$A$5:$A$11,$X120)=INDEX('Flow Curves'!$A$5:$A$11,$W120),$Y120,$Y120+($Z120-$Y120)*(MAX(10,MIN(150,$C120))-INDEX('Flow Curves'!$A$5:$A$11,$W120))/(INDEX('Flow Curves'!$A$5:$A$11,$X120)-INDEX('Flow Curves'!$A$5:$A$11,$W120))))</f>
        <v>0</v>
      </c>
      <c r="P120" s="20" t="n">
        <f aca="false">IF(OR($B120="Air",$B120="Open Blow"),$O120*60*Cost!$D$16*Cost!$D$17/Cost!$D$5*Cost!$D$13,0)</f>
        <v>0</v>
      </c>
      <c r="Q120" s="17"/>
      <c r="U120" s="16" t="str">
        <f aca="false">IF($D120="","",IF(ISNA(MATCH($B120,Cost!$H$5:$H$11,0)),"CHECK GAS TYPE",IF(OR($C120&lt;10,$C120&gt;150),"CHECK PRESSURE: outside 10-150 psi table",IF(OR($D120&lt;1,$D120&gt;120),"CHECK dB: outside 1-120 table",IF(ISNA(MATCH($C120,'Flow Curves'!$A$5:$A$11,0)),"INTERPOLATED between curves","Table curve")))))</f>
        <v/>
      </c>
      <c r="W120" s="2" t="str">
        <f aca="false">IF(OR($D120="",$C120=""),"",MATCH(MAX(10,MIN(150,$C120)),'Flow Curves'!$A$5:$A$11,1))</f>
        <v/>
      </c>
      <c r="X120" s="2" t="str">
        <f aca="false">IF($W120="","",MIN($W120+1,7))</f>
        <v/>
      </c>
      <c r="Y120" s="2" t="str">
        <f aca="false">IF($W120="","",INDEX('Flow Curves'!$B$5:$B$11,$W120)*POWER($D120,INDEX('Flow Curves'!$C$5:$C$11,$W120)))</f>
        <v/>
      </c>
      <c r="Z120" s="2" t="str">
        <f aca="false">IF($W120="","",INDEX('Flow Curves'!$B$5:$B$11,$X120)*POWER($D120,INDEX('Flow Curves'!$C$5:$C$11,$X120)))</f>
        <v/>
      </c>
    </row>
    <row r="121" customFormat="false" ht="15" hidden="false" customHeight="false" outlineLevel="0" collapsed="false">
      <c r="A121" s="16" t="n">
        <v>114</v>
      </c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8" t="n">
        <f aca="false">IF($O121=0,0,$O121*60*Cost!$D$16*Cost!$D$17*IFERROR(INDEX(Cost!$I$5:$I$11,MATCH($B121,Cost!$H$5:$H$11,0)),0)/Cost!$D$5)</f>
        <v>0</v>
      </c>
      <c r="O121" s="19" t="n">
        <f aca="false">IF($W121="",0,IF(INDEX('Flow Curves'!$A$5:$A$11,$X121)=INDEX('Flow Curves'!$A$5:$A$11,$W121),$Y121,$Y121+($Z121-$Y121)*(MAX(10,MIN(150,$C121))-INDEX('Flow Curves'!$A$5:$A$11,$W121))/(INDEX('Flow Curves'!$A$5:$A$11,$X121)-INDEX('Flow Curves'!$A$5:$A$11,$W121))))</f>
        <v>0</v>
      </c>
      <c r="P121" s="20" t="n">
        <f aca="false">IF(OR($B121="Air",$B121="Open Blow"),$O121*60*Cost!$D$16*Cost!$D$17/Cost!$D$5*Cost!$D$13,0)</f>
        <v>0</v>
      </c>
      <c r="Q121" s="17"/>
      <c r="U121" s="16" t="str">
        <f aca="false">IF($D121="","",IF(ISNA(MATCH($B121,Cost!$H$5:$H$11,0)),"CHECK GAS TYPE",IF(OR($C121&lt;10,$C121&gt;150),"CHECK PRESSURE: outside 10-150 psi table",IF(OR($D121&lt;1,$D121&gt;120),"CHECK dB: outside 1-120 table",IF(ISNA(MATCH($C121,'Flow Curves'!$A$5:$A$11,0)),"INTERPOLATED between curves","Table curve")))))</f>
        <v/>
      </c>
      <c r="W121" s="2" t="str">
        <f aca="false">IF(OR($D121="",$C121=""),"",MATCH(MAX(10,MIN(150,$C121)),'Flow Curves'!$A$5:$A$11,1))</f>
        <v/>
      </c>
      <c r="X121" s="2" t="str">
        <f aca="false">IF($W121="","",MIN($W121+1,7))</f>
        <v/>
      </c>
      <c r="Y121" s="2" t="str">
        <f aca="false">IF($W121="","",INDEX('Flow Curves'!$B$5:$B$11,$W121)*POWER($D121,INDEX('Flow Curves'!$C$5:$C$11,$W121)))</f>
        <v/>
      </c>
      <c r="Z121" s="2" t="str">
        <f aca="false">IF($W121="","",INDEX('Flow Curves'!$B$5:$B$11,$X121)*POWER($D121,INDEX('Flow Curves'!$C$5:$C$11,$X121)))</f>
        <v/>
      </c>
    </row>
    <row r="122" customFormat="false" ht="15" hidden="false" customHeight="false" outlineLevel="0" collapsed="false">
      <c r="A122" s="16" t="n">
        <v>115</v>
      </c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8" t="n">
        <f aca="false">IF($O122=0,0,$O122*60*Cost!$D$16*Cost!$D$17*IFERROR(INDEX(Cost!$I$5:$I$11,MATCH($B122,Cost!$H$5:$H$11,0)),0)/Cost!$D$5)</f>
        <v>0</v>
      </c>
      <c r="O122" s="19" t="n">
        <f aca="false">IF($W122="",0,IF(INDEX('Flow Curves'!$A$5:$A$11,$X122)=INDEX('Flow Curves'!$A$5:$A$11,$W122),$Y122,$Y122+($Z122-$Y122)*(MAX(10,MIN(150,$C122))-INDEX('Flow Curves'!$A$5:$A$11,$W122))/(INDEX('Flow Curves'!$A$5:$A$11,$X122)-INDEX('Flow Curves'!$A$5:$A$11,$W122))))</f>
        <v>0</v>
      </c>
      <c r="P122" s="20" t="n">
        <f aca="false">IF(OR($B122="Air",$B122="Open Blow"),$O122*60*Cost!$D$16*Cost!$D$17/Cost!$D$5*Cost!$D$13,0)</f>
        <v>0</v>
      </c>
      <c r="Q122" s="17"/>
      <c r="U122" s="16" t="str">
        <f aca="false">IF($D122="","",IF(ISNA(MATCH($B122,Cost!$H$5:$H$11,0)),"CHECK GAS TYPE",IF(OR($C122&lt;10,$C122&gt;150),"CHECK PRESSURE: outside 10-150 psi table",IF(OR($D122&lt;1,$D122&gt;120),"CHECK dB: outside 1-120 table",IF(ISNA(MATCH($C122,'Flow Curves'!$A$5:$A$11,0)),"INTERPOLATED between curves","Table curve")))))</f>
        <v/>
      </c>
      <c r="W122" s="2" t="str">
        <f aca="false">IF(OR($D122="",$C122=""),"",MATCH(MAX(10,MIN(150,$C122)),'Flow Curves'!$A$5:$A$11,1))</f>
        <v/>
      </c>
      <c r="X122" s="2" t="str">
        <f aca="false">IF($W122="","",MIN($W122+1,7))</f>
        <v/>
      </c>
      <c r="Y122" s="2" t="str">
        <f aca="false">IF($W122="","",INDEX('Flow Curves'!$B$5:$B$11,$W122)*POWER($D122,INDEX('Flow Curves'!$C$5:$C$11,$W122)))</f>
        <v/>
      </c>
      <c r="Z122" s="2" t="str">
        <f aca="false">IF($W122="","",INDEX('Flow Curves'!$B$5:$B$11,$X122)*POWER($D122,INDEX('Flow Curves'!$C$5:$C$11,$X122)))</f>
        <v/>
      </c>
    </row>
    <row r="123" customFormat="false" ht="15" hidden="false" customHeight="false" outlineLevel="0" collapsed="false">
      <c r="A123" s="16" t="n">
        <v>116</v>
      </c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8" t="n">
        <f aca="false">IF($O123=0,0,$O123*60*Cost!$D$16*Cost!$D$17*IFERROR(INDEX(Cost!$I$5:$I$11,MATCH($B123,Cost!$H$5:$H$11,0)),0)/Cost!$D$5)</f>
        <v>0</v>
      </c>
      <c r="O123" s="19" t="n">
        <f aca="false">IF($W123="",0,IF(INDEX('Flow Curves'!$A$5:$A$11,$X123)=INDEX('Flow Curves'!$A$5:$A$11,$W123),$Y123,$Y123+($Z123-$Y123)*(MAX(10,MIN(150,$C123))-INDEX('Flow Curves'!$A$5:$A$11,$W123))/(INDEX('Flow Curves'!$A$5:$A$11,$X123)-INDEX('Flow Curves'!$A$5:$A$11,$W123))))</f>
        <v>0</v>
      </c>
      <c r="P123" s="20" t="n">
        <f aca="false">IF(OR($B123="Air",$B123="Open Blow"),$O123*60*Cost!$D$16*Cost!$D$17/Cost!$D$5*Cost!$D$13,0)</f>
        <v>0</v>
      </c>
      <c r="Q123" s="17"/>
      <c r="U123" s="16" t="str">
        <f aca="false">IF($D123="","",IF(ISNA(MATCH($B123,Cost!$H$5:$H$11,0)),"CHECK GAS TYPE",IF(OR($C123&lt;10,$C123&gt;150),"CHECK PRESSURE: outside 10-150 psi table",IF(OR($D123&lt;1,$D123&gt;120),"CHECK dB: outside 1-120 table",IF(ISNA(MATCH($C123,'Flow Curves'!$A$5:$A$11,0)),"INTERPOLATED between curves","Table curve")))))</f>
        <v/>
      </c>
      <c r="W123" s="2" t="str">
        <f aca="false">IF(OR($D123="",$C123=""),"",MATCH(MAX(10,MIN(150,$C123)),'Flow Curves'!$A$5:$A$11,1))</f>
        <v/>
      </c>
      <c r="X123" s="2" t="str">
        <f aca="false">IF($W123="","",MIN($W123+1,7))</f>
        <v/>
      </c>
      <c r="Y123" s="2" t="str">
        <f aca="false">IF($W123="","",INDEX('Flow Curves'!$B$5:$B$11,$W123)*POWER($D123,INDEX('Flow Curves'!$C$5:$C$11,$W123)))</f>
        <v/>
      </c>
      <c r="Z123" s="2" t="str">
        <f aca="false">IF($W123="","",INDEX('Flow Curves'!$B$5:$B$11,$X123)*POWER($D123,INDEX('Flow Curves'!$C$5:$C$11,$X123)))</f>
        <v/>
      </c>
    </row>
    <row r="124" customFormat="false" ht="15" hidden="false" customHeight="false" outlineLevel="0" collapsed="false">
      <c r="A124" s="16" t="n">
        <v>117</v>
      </c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8" t="n">
        <f aca="false">IF($O124=0,0,$O124*60*Cost!$D$16*Cost!$D$17*IFERROR(INDEX(Cost!$I$5:$I$11,MATCH($B124,Cost!$H$5:$H$11,0)),0)/Cost!$D$5)</f>
        <v>0</v>
      </c>
      <c r="O124" s="19" t="n">
        <f aca="false">IF($W124="",0,IF(INDEX('Flow Curves'!$A$5:$A$11,$X124)=INDEX('Flow Curves'!$A$5:$A$11,$W124),$Y124,$Y124+($Z124-$Y124)*(MAX(10,MIN(150,$C124))-INDEX('Flow Curves'!$A$5:$A$11,$W124))/(INDEX('Flow Curves'!$A$5:$A$11,$X124)-INDEX('Flow Curves'!$A$5:$A$11,$W124))))</f>
        <v>0</v>
      </c>
      <c r="P124" s="20" t="n">
        <f aca="false">IF(OR($B124="Air",$B124="Open Blow"),$O124*60*Cost!$D$16*Cost!$D$17/Cost!$D$5*Cost!$D$13,0)</f>
        <v>0</v>
      </c>
      <c r="Q124" s="17"/>
      <c r="U124" s="16" t="str">
        <f aca="false">IF($D124="","",IF(ISNA(MATCH($B124,Cost!$H$5:$H$11,0)),"CHECK GAS TYPE",IF(OR($C124&lt;10,$C124&gt;150),"CHECK PRESSURE: outside 10-150 psi table",IF(OR($D124&lt;1,$D124&gt;120),"CHECK dB: outside 1-120 table",IF(ISNA(MATCH($C124,'Flow Curves'!$A$5:$A$11,0)),"INTERPOLATED between curves","Table curve")))))</f>
        <v/>
      </c>
      <c r="W124" s="2" t="str">
        <f aca="false">IF(OR($D124="",$C124=""),"",MATCH(MAX(10,MIN(150,$C124)),'Flow Curves'!$A$5:$A$11,1))</f>
        <v/>
      </c>
      <c r="X124" s="2" t="str">
        <f aca="false">IF($W124="","",MIN($W124+1,7))</f>
        <v/>
      </c>
      <c r="Y124" s="2" t="str">
        <f aca="false">IF($W124="","",INDEX('Flow Curves'!$B$5:$B$11,$W124)*POWER($D124,INDEX('Flow Curves'!$C$5:$C$11,$W124)))</f>
        <v/>
      </c>
      <c r="Z124" s="2" t="str">
        <f aca="false">IF($W124="","",INDEX('Flow Curves'!$B$5:$B$11,$X124)*POWER($D124,INDEX('Flow Curves'!$C$5:$C$11,$X124)))</f>
        <v/>
      </c>
    </row>
    <row r="125" customFormat="false" ht="15" hidden="false" customHeight="false" outlineLevel="0" collapsed="false">
      <c r="A125" s="16" t="n">
        <v>118</v>
      </c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8" t="n">
        <f aca="false">IF($O125=0,0,$O125*60*Cost!$D$16*Cost!$D$17*IFERROR(INDEX(Cost!$I$5:$I$11,MATCH($B125,Cost!$H$5:$H$11,0)),0)/Cost!$D$5)</f>
        <v>0</v>
      </c>
      <c r="O125" s="19" t="n">
        <f aca="false">IF($W125="",0,IF(INDEX('Flow Curves'!$A$5:$A$11,$X125)=INDEX('Flow Curves'!$A$5:$A$11,$W125),$Y125,$Y125+($Z125-$Y125)*(MAX(10,MIN(150,$C125))-INDEX('Flow Curves'!$A$5:$A$11,$W125))/(INDEX('Flow Curves'!$A$5:$A$11,$X125)-INDEX('Flow Curves'!$A$5:$A$11,$W125))))</f>
        <v>0</v>
      </c>
      <c r="P125" s="20" t="n">
        <f aca="false">IF(OR($B125="Air",$B125="Open Blow"),$O125*60*Cost!$D$16*Cost!$D$17/Cost!$D$5*Cost!$D$13,0)</f>
        <v>0</v>
      </c>
      <c r="Q125" s="17"/>
      <c r="U125" s="16" t="str">
        <f aca="false">IF($D125="","",IF(ISNA(MATCH($B125,Cost!$H$5:$H$11,0)),"CHECK GAS TYPE",IF(OR($C125&lt;10,$C125&gt;150),"CHECK PRESSURE: outside 10-150 psi table",IF(OR($D125&lt;1,$D125&gt;120),"CHECK dB: outside 1-120 table",IF(ISNA(MATCH($C125,'Flow Curves'!$A$5:$A$11,0)),"INTERPOLATED between curves","Table curve")))))</f>
        <v/>
      </c>
      <c r="W125" s="2" t="str">
        <f aca="false">IF(OR($D125="",$C125=""),"",MATCH(MAX(10,MIN(150,$C125)),'Flow Curves'!$A$5:$A$11,1))</f>
        <v/>
      </c>
      <c r="X125" s="2" t="str">
        <f aca="false">IF($W125="","",MIN($W125+1,7))</f>
        <v/>
      </c>
      <c r="Y125" s="2" t="str">
        <f aca="false">IF($W125="","",INDEX('Flow Curves'!$B$5:$B$11,$W125)*POWER($D125,INDEX('Flow Curves'!$C$5:$C$11,$W125)))</f>
        <v/>
      </c>
      <c r="Z125" s="2" t="str">
        <f aca="false">IF($W125="","",INDEX('Flow Curves'!$B$5:$B$11,$X125)*POWER($D125,INDEX('Flow Curves'!$C$5:$C$11,$X125)))</f>
        <v/>
      </c>
    </row>
    <row r="126" customFormat="false" ht="15" hidden="false" customHeight="false" outlineLevel="0" collapsed="false">
      <c r="A126" s="16" t="n">
        <v>119</v>
      </c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8" t="n">
        <f aca="false">IF($O126=0,0,$O126*60*Cost!$D$16*Cost!$D$17*IFERROR(INDEX(Cost!$I$5:$I$11,MATCH($B126,Cost!$H$5:$H$11,0)),0)/Cost!$D$5)</f>
        <v>0</v>
      </c>
      <c r="O126" s="19" t="n">
        <f aca="false">IF($W126="",0,IF(INDEX('Flow Curves'!$A$5:$A$11,$X126)=INDEX('Flow Curves'!$A$5:$A$11,$W126),$Y126,$Y126+($Z126-$Y126)*(MAX(10,MIN(150,$C126))-INDEX('Flow Curves'!$A$5:$A$11,$W126))/(INDEX('Flow Curves'!$A$5:$A$11,$X126)-INDEX('Flow Curves'!$A$5:$A$11,$W126))))</f>
        <v>0</v>
      </c>
      <c r="P126" s="20" t="n">
        <f aca="false">IF(OR($B126="Air",$B126="Open Blow"),$O126*60*Cost!$D$16*Cost!$D$17/Cost!$D$5*Cost!$D$13,0)</f>
        <v>0</v>
      </c>
      <c r="Q126" s="17"/>
      <c r="U126" s="16" t="str">
        <f aca="false">IF($D126="","",IF(ISNA(MATCH($B126,Cost!$H$5:$H$11,0)),"CHECK GAS TYPE",IF(OR($C126&lt;10,$C126&gt;150),"CHECK PRESSURE: outside 10-150 psi table",IF(OR($D126&lt;1,$D126&gt;120),"CHECK dB: outside 1-120 table",IF(ISNA(MATCH($C126,'Flow Curves'!$A$5:$A$11,0)),"INTERPOLATED between curves","Table curve")))))</f>
        <v/>
      </c>
      <c r="W126" s="2" t="str">
        <f aca="false">IF(OR($D126="",$C126=""),"",MATCH(MAX(10,MIN(150,$C126)),'Flow Curves'!$A$5:$A$11,1))</f>
        <v/>
      </c>
      <c r="X126" s="2" t="str">
        <f aca="false">IF($W126="","",MIN($W126+1,7))</f>
        <v/>
      </c>
      <c r="Y126" s="2" t="str">
        <f aca="false">IF($W126="","",INDEX('Flow Curves'!$B$5:$B$11,$W126)*POWER($D126,INDEX('Flow Curves'!$C$5:$C$11,$W126)))</f>
        <v/>
      </c>
      <c r="Z126" s="2" t="str">
        <f aca="false">IF($W126="","",INDEX('Flow Curves'!$B$5:$B$11,$X126)*POWER($D126,INDEX('Flow Curves'!$C$5:$C$11,$X126)))</f>
        <v/>
      </c>
    </row>
    <row r="127" customFormat="false" ht="15" hidden="false" customHeight="false" outlineLevel="0" collapsed="false">
      <c r="A127" s="16" t="n">
        <v>120</v>
      </c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8" t="n">
        <f aca="false">IF($O127=0,0,$O127*60*Cost!$D$16*Cost!$D$17*IFERROR(INDEX(Cost!$I$5:$I$11,MATCH($B127,Cost!$H$5:$H$11,0)),0)/Cost!$D$5)</f>
        <v>0</v>
      </c>
      <c r="O127" s="19" t="n">
        <f aca="false">IF($W127="",0,IF(INDEX('Flow Curves'!$A$5:$A$11,$X127)=INDEX('Flow Curves'!$A$5:$A$11,$W127),$Y127,$Y127+($Z127-$Y127)*(MAX(10,MIN(150,$C127))-INDEX('Flow Curves'!$A$5:$A$11,$W127))/(INDEX('Flow Curves'!$A$5:$A$11,$X127)-INDEX('Flow Curves'!$A$5:$A$11,$W127))))</f>
        <v>0</v>
      </c>
      <c r="P127" s="20" t="n">
        <f aca="false">IF(OR($B127="Air",$B127="Open Blow"),$O127*60*Cost!$D$16*Cost!$D$17/Cost!$D$5*Cost!$D$13,0)</f>
        <v>0</v>
      </c>
      <c r="Q127" s="17"/>
      <c r="U127" s="16" t="str">
        <f aca="false">IF($D127="","",IF(ISNA(MATCH($B127,Cost!$H$5:$H$11,0)),"CHECK GAS TYPE",IF(OR($C127&lt;10,$C127&gt;150),"CHECK PRESSURE: outside 10-150 psi table",IF(OR($D127&lt;1,$D127&gt;120),"CHECK dB: outside 1-120 table",IF(ISNA(MATCH($C127,'Flow Curves'!$A$5:$A$11,0)),"INTERPOLATED between curves","Table curve")))))</f>
        <v/>
      </c>
      <c r="W127" s="2" t="str">
        <f aca="false">IF(OR($D127="",$C127=""),"",MATCH(MAX(10,MIN(150,$C127)),'Flow Curves'!$A$5:$A$11,1))</f>
        <v/>
      </c>
      <c r="X127" s="2" t="str">
        <f aca="false">IF($W127="","",MIN($W127+1,7))</f>
        <v/>
      </c>
      <c r="Y127" s="2" t="str">
        <f aca="false">IF($W127="","",INDEX('Flow Curves'!$B$5:$B$11,$W127)*POWER($D127,INDEX('Flow Curves'!$C$5:$C$11,$W127)))</f>
        <v/>
      </c>
      <c r="Z127" s="2" t="str">
        <f aca="false">IF($W127="","",INDEX('Flow Curves'!$B$5:$B$11,$X127)*POWER($D127,INDEX('Flow Curves'!$C$5:$C$11,$X127)))</f>
        <v/>
      </c>
    </row>
    <row r="128" customFormat="false" ht="15" hidden="false" customHeight="false" outlineLevel="0" collapsed="false">
      <c r="A128" s="16" t="n">
        <v>121</v>
      </c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8" t="n">
        <f aca="false">IF($O128=0,0,$O128*60*Cost!$D$16*Cost!$D$17*IFERROR(INDEX(Cost!$I$5:$I$11,MATCH($B128,Cost!$H$5:$H$11,0)),0)/Cost!$D$5)</f>
        <v>0</v>
      </c>
      <c r="O128" s="19" t="n">
        <f aca="false">IF($W128="",0,IF(INDEX('Flow Curves'!$A$5:$A$11,$X128)=INDEX('Flow Curves'!$A$5:$A$11,$W128),$Y128,$Y128+($Z128-$Y128)*(MAX(10,MIN(150,$C128))-INDEX('Flow Curves'!$A$5:$A$11,$W128))/(INDEX('Flow Curves'!$A$5:$A$11,$X128)-INDEX('Flow Curves'!$A$5:$A$11,$W128))))</f>
        <v>0</v>
      </c>
      <c r="P128" s="20" t="n">
        <f aca="false">IF(OR($B128="Air",$B128="Open Blow"),$O128*60*Cost!$D$16*Cost!$D$17/Cost!$D$5*Cost!$D$13,0)</f>
        <v>0</v>
      </c>
      <c r="Q128" s="17"/>
      <c r="U128" s="16" t="str">
        <f aca="false">IF($D128="","",IF(ISNA(MATCH($B128,Cost!$H$5:$H$11,0)),"CHECK GAS TYPE",IF(OR($C128&lt;10,$C128&gt;150),"CHECK PRESSURE: outside 10-150 psi table",IF(OR($D128&lt;1,$D128&gt;120),"CHECK dB: outside 1-120 table",IF(ISNA(MATCH($C128,'Flow Curves'!$A$5:$A$11,0)),"INTERPOLATED between curves","Table curve")))))</f>
        <v/>
      </c>
      <c r="W128" s="2" t="str">
        <f aca="false">IF(OR($D128="",$C128=""),"",MATCH(MAX(10,MIN(150,$C128)),'Flow Curves'!$A$5:$A$11,1))</f>
        <v/>
      </c>
      <c r="X128" s="2" t="str">
        <f aca="false">IF($W128="","",MIN($W128+1,7))</f>
        <v/>
      </c>
      <c r="Y128" s="2" t="str">
        <f aca="false">IF($W128="","",INDEX('Flow Curves'!$B$5:$B$11,$W128)*POWER($D128,INDEX('Flow Curves'!$C$5:$C$11,$W128)))</f>
        <v/>
      </c>
      <c r="Z128" s="2" t="str">
        <f aca="false">IF($W128="","",INDEX('Flow Curves'!$B$5:$B$11,$X128)*POWER($D128,INDEX('Flow Curves'!$C$5:$C$11,$X128)))</f>
        <v/>
      </c>
    </row>
    <row r="129" customFormat="false" ht="15" hidden="false" customHeight="false" outlineLevel="0" collapsed="false">
      <c r="A129" s="16" t="n">
        <v>122</v>
      </c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8" t="n">
        <f aca="false">IF($O129=0,0,$O129*60*Cost!$D$16*Cost!$D$17*IFERROR(INDEX(Cost!$I$5:$I$11,MATCH($B129,Cost!$H$5:$H$11,0)),0)/Cost!$D$5)</f>
        <v>0</v>
      </c>
      <c r="O129" s="19" t="n">
        <f aca="false">IF($W129="",0,IF(INDEX('Flow Curves'!$A$5:$A$11,$X129)=INDEX('Flow Curves'!$A$5:$A$11,$W129),$Y129,$Y129+($Z129-$Y129)*(MAX(10,MIN(150,$C129))-INDEX('Flow Curves'!$A$5:$A$11,$W129))/(INDEX('Flow Curves'!$A$5:$A$11,$X129)-INDEX('Flow Curves'!$A$5:$A$11,$W129))))</f>
        <v>0</v>
      </c>
      <c r="P129" s="20" t="n">
        <f aca="false">IF(OR($B129="Air",$B129="Open Blow"),$O129*60*Cost!$D$16*Cost!$D$17/Cost!$D$5*Cost!$D$13,0)</f>
        <v>0</v>
      </c>
      <c r="Q129" s="17"/>
      <c r="U129" s="16" t="str">
        <f aca="false">IF($D129="","",IF(ISNA(MATCH($B129,Cost!$H$5:$H$11,0)),"CHECK GAS TYPE",IF(OR($C129&lt;10,$C129&gt;150),"CHECK PRESSURE: outside 10-150 psi table",IF(OR($D129&lt;1,$D129&gt;120),"CHECK dB: outside 1-120 table",IF(ISNA(MATCH($C129,'Flow Curves'!$A$5:$A$11,0)),"INTERPOLATED between curves","Table curve")))))</f>
        <v/>
      </c>
      <c r="W129" s="2" t="str">
        <f aca="false">IF(OR($D129="",$C129=""),"",MATCH(MAX(10,MIN(150,$C129)),'Flow Curves'!$A$5:$A$11,1))</f>
        <v/>
      </c>
      <c r="X129" s="2" t="str">
        <f aca="false">IF($W129="","",MIN($W129+1,7))</f>
        <v/>
      </c>
      <c r="Y129" s="2" t="str">
        <f aca="false">IF($W129="","",INDEX('Flow Curves'!$B$5:$B$11,$W129)*POWER($D129,INDEX('Flow Curves'!$C$5:$C$11,$W129)))</f>
        <v/>
      </c>
      <c r="Z129" s="2" t="str">
        <f aca="false">IF($W129="","",INDEX('Flow Curves'!$B$5:$B$11,$X129)*POWER($D129,INDEX('Flow Curves'!$C$5:$C$11,$X129)))</f>
        <v/>
      </c>
    </row>
    <row r="130" customFormat="false" ht="15" hidden="false" customHeight="false" outlineLevel="0" collapsed="false">
      <c r="A130" s="16" t="n">
        <v>123</v>
      </c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8" t="n">
        <f aca="false">IF($O130=0,0,$O130*60*Cost!$D$16*Cost!$D$17*IFERROR(INDEX(Cost!$I$5:$I$11,MATCH($B130,Cost!$H$5:$H$11,0)),0)/Cost!$D$5)</f>
        <v>0</v>
      </c>
      <c r="O130" s="19" t="n">
        <f aca="false">IF($W130="",0,IF(INDEX('Flow Curves'!$A$5:$A$11,$X130)=INDEX('Flow Curves'!$A$5:$A$11,$W130),$Y130,$Y130+($Z130-$Y130)*(MAX(10,MIN(150,$C130))-INDEX('Flow Curves'!$A$5:$A$11,$W130))/(INDEX('Flow Curves'!$A$5:$A$11,$X130)-INDEX('Flow Curves'!$A$5:$A$11,$W130))))</f>
        <v>0</v>
      </c>
      <c r="P130" s="20" t="n">
        <f aca="false">IF(OR($B130="Air",$B130="Open Blow"),$O130*60*Cost!$D$16*Cost!$D$17/Cost!$D$5*Cost!$D$13,0)</f>
        <v>0</v>
      </c>
      <c r="Q130" s="17"/>
      <c r="U130" s="16" t="str">
        <f aca="false">IF($D130="","",IF(ISNA(MATCH($B130,Cost!$H$5:$H$11,0)),"CHECK GAS TYPE",IF(OR($C130&lt;10,$C130&gt;150),"CHECK PRESSURE: outside 10-150 psi table",IF(OR($D130&lt;1,$D130&gt;120),"CHECK dB: outside 1-120 table",IF(ISNA(MATCH($C130,'Flow Curves'!$A$5:$A$11,0)),"INTERPOLATED between curves","Table curve")))))</f>
        <v/>
      </c>
      <c r="W130" s="2" t="str">
        <f aca="false">IF(OR($D130="",$C130=""),"",MATCH(MAX(10,MIN(150,$C130)),'Flow Curves'!$A$5:$A$11,1))</f>
        <v/>
      </c>
      <c r="X130" s="2" t="str">
        <f aca="false">IF($W130="","",MIN($W130+1,7))</f>
        <v/>
      </c>
      <c r="Y130" s="2" t="str">
        <f aca="false">IF($W130="","",INDEX('Flow Curves'!$B$5:$B$11,$W130)*POWER($D130,INDEX('Flow Curves'!$C$5:$C$11,$W130)))</f>
        <v/>
      </c>
      <c r="Z130" s="2" t="str">
        <f aca="false">IF($W130="","",INDEX('Flow Curves'!$B$5:$B$11,$X130)*POWER($D130,INDEX('Flow Curves'!$C$5:$C$11,$X130)))</f>
        <v/>
      </c>
    </row>
    <row r="131" customFormat="false" ht="15" hidden="false" customHeight="false" outlineLevel="0" collapsed="false">
      <c r="A131" s="16" t="n">
        <v>124</v>
      </c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8" t="n">
        <f aca="false">IF($O131=0,0,$O131*60*Cost!$D$16*Cost!$D$17*IFERROR(INDEX(Cost!$I$5:$I$11,MATCH($B131,Cost!$H$5:$H$11,0)),0)/Cost!$D$5)</f>
        <v>0</v>
      </c>
      <c r="O131" s="19" t="n">
        <f aca="false">IF($W131="",0,IF(INDEX('Flow Curves'!$A$5:$A$11,$X131)=INDEX('Flow Curves'!$A$5:$A$11,$W131),$Y131,$Y131+($Z131-$Y131)*(MAX(10,MIN(150,$C131))-INDEX('Flow Curves'!$A$5:$A$11,$W131))/(INDEX('Flow Curves'!$A$5:$A$11,$X131)-INDEX('Flow Curves'!$A$5:$A$11,$W131))))</f>
        <v>0</v>
      </c>
      <c r="P131" s="20" t="n">
        <f aca="false">IF(OR($B131="Air",$B131="Open Blow"),$O131*60*Cost!$D$16*Cost!$D$17/Cost!$D$5*Cost!$D$13,0)</f>
        <v>0</v>
      </c>
      <c r="Q131" s="17"/>
      <c r="U131" s="16" t="str">
        <f aca="false">IF($D131="","",IF(ISNA(MATCH($B131,Cost!$H$5:$H$11,0)),"CHECK GAS TYPE",IF(OR($C131&lt;10,$C131&gt;150),"CHECK PRESSURE: outside 10-150 psi table",IF(OR($D131&lt;1,$D131&gt;120),"CHECK dB: outside 1-120 table",IF(ISNA(MATCH($C131,'Flow Curves'!$A$5:$A$11,0)),"INTERPOLATED between curves","Table curve")))))</f>
        <v/>
      </c>
      <c r="W131" s="2" t="str">
        <f aca="false">IF(OR($D131="",$C131=""),"",MATCH(MAX(10,MIN(150,$C131)),'Flow Curves'!$A$5:$A$11,1))</f>
        <v/>
      </c>
      <c r="X131" s="2" t="str">
        <f aca="false">IF($W131="","",MIN($W131+1,7))</f>
        <v/>
      </c>
      <c r="Y131" s="2" t="str">
        <f aca="false">IF($W131="","",INDEX('Flow Curves'!$B$5:$B$11,$W131)*POWER($D131,INDEX('Flow Curves'!$C$5:$C$11,$W131)))</f>
        <v/>
      </c>
      <c r="Z131" s="2" t="str">
        <f aca="false">IF($W131="","",INDEX('Flow Curves'!$B$5:$B$11,$X131)*POWER($D131,INDEX('Flow Curves'!$C$5:$C$11,$X131)))</f>
        <v/>
      </c>
    </row>
    <row r="132" customFormat="false" ht="15" hidden="false" customHeight="false" outlineLevel="0" collapsed="false">
      <c r="A132" s="16" t="n">
        <v>125</v>
      </c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8" t="n">
        <f aca="false">IF($O132=0,0,$O132*60*Cost!$D$16*Cost!$D$17*IFERROR(INDEX(Cost!$I$5:$I$11,MATCH($B132,Cost!$H$5:$H$11,0)),0)/Cost!$D$5)</f>
        <v>0</v>
      </c>
      <c r="O132" s="19" t="n">
        <f aca="false">IF($W132="",0,IF(INDEX('Flow Curves'!$A$5:$A$11,$X132)=INDEX('Flow Curves'!$A$5:$A$11,$W132),$Y132,$Y132+($Z132-$Y132)*(MAX(10,MIN(150,$C132))-INDEX('Flow Curves'!$A$5:$A$11,$W132))/(INDEX('Flow Curves'!$A$5:$A$11,$X132)-INDEX('Flow Curves'!$A$5:$A$11,$W132))))</f>
        <v>0</v>
      </c>
      <c r="P132" s="20" t="n">
        <f aca="false">IF(OR($B132="Air",$B132="Open Blow"),$O132*60*Cost!$D$16*Cost!$D$17/Cost!$D$5*Cost!$D$13,0)</f>
        <v>0</v>
      </c>
      <c r="Q132" s="17"/>
      <c r="U132" s="16" t="str">
        <f aca="false">IF($D132="","",IF(ISNA(MATCH($B132,Cost!$H$5:$H$11,0)),"CHECK GAS TYPE",IF(OR($C132&lt;10,$C132&gt;150),"CHECK PRESSURE: outside 10-150 psi table",IF(OR($D132&lt;1,$D132&gt;120),"CHECK dB: outside 1-120 table",IF(ISNA(MATCH($C132,'Flow Curves'!$A$5:$A$11,0)),"INTERPOLATED between curves","Table curve")))))</f>
        <v/>
      </c>
      <c r="W132" s="2" t="str">
        <f aca="false">IF(OR($D132="",$C132=""),"",MATCH(MAX(10,MIN(150,$C132)),'Flow Curves'!$A$5:$A$11,1))</f>
        <v/>
      </c>
      <c r="X132" s="2" t="str">
        <f aca="false">IF($W132="","",MIN($W132+1,7))</f>
        <v/>
      </c>
      <c r="Y132" s="2" t="str">
        <f aca="false">IF($W132="","",INDEX('Flow Curves'!$B$5:$B$11,$W132)*POWER($D132,INDEX('Flow Curves'!$C$5:$C$11,$W132)))</f>
        <v/>
      </c>
      <c r="Z132" s="2" t="str">
        <f aca="false">IF($W132="","",INDEX('Flow Curves'!$B$5:$B$11,$X132)*POWER($D132,INDEX('Flow Curves'!$C$5:$C$11,$X132)))</f>
        <v/>
      </c>
    </row>
    <row r="133" customFormat="false" ht="15" hidden="false" customHeight="false" outlineLevel="0" collapsed="false">
      <c r="A133" s="16" t="n">
        <v>126</v>
      </c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8" t="n">
        <f aca="false">IF($O133=0,0,$O133*60*Cost!$D$16*Cost!$D$17*IFERROR(INDEX(Cost!$I$5:$I$11,MATCH($B133,Cost!$H$5:$H$11,0)),0)/Cost!$D$5)</f>
        <v>0</v>
      </c>
      <c r="O133" s="19" t="n">
        <f aca="false">IF($W133="",0,IF(INDEX('Flow Curves'!$A$5:$A$11,$X133)=INDEX('Flow Curves'!$A$5:$A$11,$W133),$Y133,$Y133+($Z133-$Y133)*(MAX(10,MIN(150,$C133))-INDEX('Flow Curves'!$A$5:$A$11,$W133))/(INDEX('Flow Curves'!$A$5:$A$11,$X133)-INDEX('Flow Curves'!$A$5:$A$11,$W133))))</f>
        <v>0</v>
      </c>
      <c r="P133" s="20" t="n">
        <f aca="false">IF(OR($B133="Air",$B133="Open Blow"),$O133*60*Cost!$D$16*Cost!$D$17/Cost!$D$5*Cost!$D$13,0)</f>
        <v>0</v>
      </c>
      <c r="Q133" s="17"/>
      <c r="U133" s="16" t="str">
        <f aca="false">IF($D133="","",IF(ISNA(MATCH($B133,Cost!$H$5:$H$11,0)),"CHECK GAS TYPE",IF(OR($C133&lt;10,$C133&gt;150),"CHECK PRESSURE: outside 10-150 psi table",IF(OR($D133&lt;1,$D133&gt;120),"CHECK dB: outside 1-120 table",IF(ISNA(MATCH($C133,'Flow Curves'!$A$5:$A$11,0)),"INTERPOLATED between curves","Table curve")))))</f>
        <v/>
      </c>
      <c r="W133" s="2" t="str">
        <f aca="false">IF(OR($D133="",$C133=""),"",MATCH(MAX(10,MIN(150,$C133)),'Flow Curves'!$A$5:$A$11,1))</f>
        <v/>
      </c>
      <c r="X133" s="2" t="str">
        <f aca="false">IF($W133="","",MIN($W133+1,7))</f>
        <v/>
      </c>
      <c r="Y133" s="2" t="str">
        <f aca="false">IF($W133="","",INDEX('Flow Curves'!$B$5:$B$11,$W133)*POWER($D133,INDEX('Flow Curves'!$C$5:$C$11,$W133)))</f>
        <v/>
      </c>
      <c r="Z133" s="2" t="str">
        <f aca="false">IF($W133="","",INDEX('Flow Curves'!$B$5:$B$11,$X133)*POWER($D133,INDEX('Flow Curves'!$C$5:$C$11,$X133)))</f>
        <v/>
      </c>
    </row>
    <row r="134" customFormat="false" ht="15" hidden="false" customHeight="false" outlineLevel="0" collapsed="false">
      <c r="A134" s="16" t="n">
        <v>127</v>
      </c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8" t="n">
        <f aca="false">IF($O134=0,0,$O134*60*Cost!$D$16*Cost!$D$17*IFERROR(INDEX(Cost!$I$5:$I$11,MATCH($B134,Cost!$H$5:$H$11,0)),0)/Cost!$D$5)</f>
        <v>0</v>
      </c>
      <c r="O134" s="19" t="n">
        <f aca="false">IF($W134="",0,IF(INDEX('Flow Curves'!$A$5:$A$11,$X134)=INDEX('Flow Curves'!$A$5:$A$11,$W134),$Y134,$Y134+($Z134-$Y134)*(MAX(10,MIN(150,$C134))-INDEX('Flow Curves'!$A$5:$A$11,$W134))/(INDEX('Flow Curves'!$A$5:$A$11,$X134)-INDEX('Flow Curves'!$A$5:$A$11,$W134))))</f>
        <v>0</v>
      </c>
      <c r="P134" s="20" t="n">
        <f aca="false">IF(OR($B134="Air",$B134="Open Blow"),$O134*60*Cost!$D$16*Cost!$D$17/Cost!$D$5*Cost!$D$13,0)</f>
        <v>0</v>
      </c>
      <c r="Q134" s="17"/>
      <c r="U134" s="16" t="str">
        <f aca="false">IF($D134="","",IF(ISNA(MATCH($B134,Cost!$H$5:$H$11,0)),"CHECK GAS TYPE",IF(OR($C134&lt;10,$C134&gt;150),"CHECK PRESSURE: outside 10-150 psi table",IF(OR($D134&lt;1,$D134&gt;120),"CHECK dB: outside 1-120 table",IF(ISNA(MATCH($C134,'Flow Curves'!$A$5:$A$11,0)),"INTERPOLATED between curves","Table curve")))))</f>
        <v/>
      </c>
      <c r="W134" s="2" t="str">
        <f aca="false">IF(OR($D134="",$C134=""),"",MATCH(MAX(10,MIN(150,$C134)),'Flow Curves'!$A$5:$A$11,1))</f>
        <v/>
      </c>
      <c r="X134" s="2" t="str">
        <f aca="false">IF($W134="","",MIN($W134+1,7))</f>
        <v/>
      </c>
      <c r="Y134" s="2" t="str">
        <f aca="false">IF($W134="","",INDEX('Flow Curves'!$B$5:$B$11,$W134)*POWER($D134,INDEX('Flow Curves'!$C$5:$C$11,$W134)))</f>
        <v/>
      </c>
      <c r="Z134" s="2" t="str">
        <f aca="false">IF($W134="","",INDEX('Flow Curves'!$B$5:$B$11,$X134)*POWER($D134,INDEX('Flow Curves'!$C$5:$C$11,$X134)))</f>
        <v/>
      </c>
    </row>
    <row r="135" customFormat="false" ht="15" hidden="false" customHeight="false" outlineLevel="0" collapsed="false">
      <c r="A135" s="16" t="n">
        <v>128</v>
      </c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8" t="n">
        <f aca="false">IF($O135=0,0,$O135*60*Cost!$D$16*Cost!$D$17*IFERROR(INDEX(Cost!$I$5:$I$11,MATCH($B135,Cost!$H$5:$H$11,0)),0)/Cost!$D$5)</f>
        <v>0</v>
      </c>
      <c r="O135" s="19" t="n">
        <f aca="false">IF($W135="",0,IF(INDEX('Flow Curves'!$A$5:$A$11,$X135)=INDEX('Flow Curves'!$A$5:$A$11,$W135),$Y135,$Y135+($Z135-$Y135)*(MAX(10,MIN(150,$C135))-INDEX('Flow Curves'!$A$5:$A$11,$W135))/(INDEX('Flow Curves'!$A$5:$A$11,$X135)-INDEX('Flow Curves'!$A$5:$A$11,$W135))))</f>
        <v>0</v>
      </c>
      <c r="P135" s="20" t="n">
        <f aca="false">IF(OR($B135="Air",$B135="Open Blow"),$O135*60*Cost!$D$16*Cost!$D$17/Cost!$D$5*Cost!$D$13,0)</f>
        <v>0</v>
      </c>
      <c r="Q135" s="17"/>
      <c r="U135" s="16" t="str">
        <f aca="false">IF($D135="","",IF(ISNA(MATCH($B135,Cost!$H$5:$H$11,0)),"CHECK GAS TYPE",IF(OR($C135&lt;10,$C135&gt;150),"CHECK PRESSURE: outside 10-150 psi table",IF(OR($D135&lt;1,$D135&gt;120),"CHECK dB: outside 1-120 table",IF(ISNA(MATCH($C135,'Flow Curves'!$A$5:$A$11,0)),"INTERPOLATED between curves","Table curve")))))</f>
        <v/>
      </c>
      <c r="W135" s="2" t="str">
        <f aca="false">IF(OR($D135="",$C135=""),"",MATCH(MAX(10,MIN(150,$C135)),'Flow Curves'!$A$5:$A$11,1))</f>
        <v/>
      </c>
      <c r="X135" s="2" t="str">
        <f aca="false">IF($W135="","",MIN($W135+1,7))</f>
        <v/>
      </c>
      <c r="Y135" s="2" t="str">
        <f aca="false">IF($W135="","",INDEX('Flow Curves'!$B$5:$B$11,$W135)*POWER($D135,INDEX('Flow Curves'!$C$5:$C$11,$W135)))</f>
        <v/>
      </c>
      <c r="Z135" s="2" t="str">
        <f aca="false">IF($W135="","",INDEX('Flow Curves'!$B$5:$B$11,$X135)*POWER($D135,INDEX('Flow Curves'!$C$5:$C$11,$X135)))</f>
        <v/>
      </c>
    </row>
    <row r="136" customFormat="false" ht="15" hidden="false" customHeight="false" outlineLevel="0" collapsed="false">
      <c r="A136" s="16" t="n">
        <v>129</v>
      </c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8" t="n">
        <f aca="false">IF($O136=0,0,$O136*60*Cost!$D$16*Cost!$D$17*IFERROR(INDEX(Cost!$I$5:$I$11,MATCH($B136,Cost!$H$5:$H$11,0)),0)/Cost!$D$5)</f>
        <v>0</v>
      </c>
      <c r="O136" s="19" t="n">
        <f aca="false">IF($W136="",0,IF(INDEX('Flow Curves'!$A$5:$A$11,$X136)=INDEX('Flow Curves'!$A$5:$A$11,$W136),$Y136,$Y136+($Z136-$Y136)*(MAX(10,MIN(150,$C136))-INDEX('Flow Curves'!$A$5:$A$11,$W136))/(INDEX('Flow Curves'!$A$5:$A$11,$X136)-INDEX('Flow Curves'!$A$5:$A$11,$W136))))</f>
        <v>0</v>
      </c>
      <c r="P136" s="20" t="n">
        <f aca="false">IF(OR($B136="Air",$B136="Open Blow"),$O136*60*Cost!$D$16*Cost!$D$17/Cost!$D$5*Cost!$D$13,0)</f>
        <v>0</v>
      </c>
      <c r="Q136" s="17"/>
      <c r="U136" s="16" t="str">
        <f aca="false">IF($D136="","",IF(ISNA(MATCH($B136,Cost!$H$5:$H$11,0)),"CHECK GAS TYPE",IF(OR($C136&lt;10,$C136&gt;150),"CHECK PRESSURE: outside 10-150 psi table",IF(OR($D136&lt;1,$D136&gt;120),"CHECK dB: outside 1-120 table",IF(ISNA(MATCH($C136,'Flow Curves'!$A$5:$A$11,0)),"INTERPOLATED between curves","Table curve")))))</f>
        <v/>
      </c>
      <c r="W136" s="2" t="str">
        <f aca="false">IF(OR($D136="",$C136=""),"",MATCH(MAX(10,MIN(150,$C136)),'Flow Curves'!$A$5:$A$11,1))</f>
        <v/>
      </c>
      <c r="X136" s="2" t="str">
        <f aca="false">IF($W136="","",MIN($W136+1,7))</f>
        <v/>
      </c>
      <c r="Y136" s="2" t="str">
        <f aca="false">IF($W136="","",INDEX('Flow Curves'!$B$5:$B$11,$W136)*POWER($D136,INDEX('Flow Curves'!$C$5:$C$11,$W136)))</f>
        <v/>
      </c>
      <c r="Z136" s="2" t="str">
        <f aca="false">IF($W136="","",INDEX('Flow Curves'!$B$5:$B$11,$X136)*POWER($D136,INDEX('Flow Curves'!$C$5:$C$11,$X136)))</f>
        <v/>
      </c>
    </row>
    <row r="137" customFormat="false" ht="15" hidden="false" customHeight="false" outlineLevel="0" collapsed="false">
      <c r="A137" s="16" t="n">
        <v>130</v>
      </c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8" t="n">
        <f aca="false">IF($O137=0,0,$O137*60*Cost!$D$16*Cost!$D$17*IFERROR(INDEX(Cost!$I$5:$I$11,MATCH($B137,Cost!$H$5:$H$11,0)),0)/Cost!$D$5)</f>
        <v>0</v>
      </c>
      <c r="O137" s="19" t="n">
        <f aca="false">IF($W137="",0,IF(INDEX('Flow Curves'!$A$5:$A$11,$X137)=INDEX('Flow Curves'!$A$5:$A$11,$W137),$Y137,$Y137+($Z137-$Y137)*(MAX(10,MIN(150,$C137))-INDEX('Flow Curves'!$A$5:$A$11,$W137))/(INDEX('Flow Curves'!$A$5:$A$11,$X137)-INDEX('Flow Curves'!$A$5:$A$11,$W137))))</f>
        <v>0</v>
      </c>
      <c r="P137" s="20" t="n">
        <f aca="false">IF(OR($B137="Air",$B137="Open Blow"),$O137*60*Cost!$D$16*Cost!$D$17/Cost!$D$5*Cost!$D$13,0)</f>
        <v>0</v>
      </c>
      <c r="Q137" s="17"/>
      <c r="U137" s="16" t="str">
        <f aca="false">IF($D137="","",IF(ISNA(MATCH($B137,Cost!$H$5:$H$11,0)),"CHECK GAS TYPE",IF(OR($C137&lt;10,$C137&gt;150),"CHECK PRESSURE: outside 10-150 psi table",IF(OR($D137&lt;1,$D137&gt;120),"CHECK dB: outside 1-120 table",IF(ISNA(MATCH($C137,'Flow Curves'!$A$5:$A$11,0)),"INTERPOLATED between curves","Table curve")))))</f>
        <v/>
      </c>
      <c r="W137" s="2" t="str">
        <f aca="false">IF(OR($D137="",$C137=""),"",MATCH(MAX(10,MIN(150,$C137)),'Flow Curves'!$A$5:$A$11,1))</f>
        <v/>
      </c>
      <c r="X137" s="2" t="str">
        <f aca="false">IF($W137="","",MIN($W137+1,7))</f>
        <v/>
      </c>
      <c r="Y137" s="2" t="str">
        <f aca="false">IF($W137="","",INDEX('Flow Curves'!$B$5:$B$11,$W137)*POWER($D137,INDEX('Flow Curves'!$C$5:$C$11,$W137)))</f>
        <v/>
      </c>
      <c r="Z137" s="2" t="str">
        <f aca="false">IF($W137="","",INDEX('Flow Curves'!$B$5:$B$11,$X137)*POWER($D137,INDEX('Flow Curves'!$C$5:$C$11,$X137)))</f>
        <v/>
      </c>
    </row>
    <row r="138" customFormat="false" ht="15" hidden="false" customHeight="false" outlineLevel="0" collapsed="false">
      <c r="A138" s="16" t="n">
        <v>131</v>
      </c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8" t="n">
        <f aca="false">IF($O138=0,0,$O138*60*Cost!$D$16*Cost!$D$17*IFERROR(INDEX(Cost!$I$5:$I$11,MATCH($B138,Cost!$H$5:$H$11,0)),0)/Cost!$D$5)</f>
        <v>0</v>
      </c>
      <c r="O138" s="19" t="n">
        <f aca="false">IF($W138="",0,IF(INDEX('Flow Curves'!$A$5:$A$11,$X138)=INDEX('Flow Curves'!$A$5:$A$11,$W138),$Y138,$Y138+($Z138-$Y138)*(MAX(10,MIN(150,$C138))-INDEX('Flow Curves'!$A$5:$A$11,$W138))/(INDEX('Flow Curves'!$A$5:$A$11,$X138)-INDEX('Flow Curves'!$A$5:$A$11,$W138))))</f>
        <v>0</v>
      </c>
      <c r="P138" s="20" t="n">
        <f aca="false">IF(OR($B138="Air",$B138="Open Blow"),$O138*60*Cost!$D$16*Cost!$D$17/Cost!$D$5*Cost!$D$13,0)</f>
        <v>0</v>
      </c>
      <c r="Q138" s="17"/>
      <c r="U138" s="16" t="str">
        <f aca="false">IF($D138="","",IF(ISNA(MATCH($B138,Cost!$H$5:$H$11,0)),"CHECK GAS TYPE",IF(OR($C138&lt;10,$C138&gt;150),"CHECK PRESSURE: outside 10-150 psi table",IF(OR($D138&lt;1,$D138&gt;120),"CHECK dB: outside 1-120 table",IF(ISNA(MATCH($C138,'Flow Curves'!$A$5:$A$11,0)),"INTERPOLATED between curves","Table curve")))))</f>
        <v/>
      </c>
      <c r="W138" s="2" t="str">
        <f aca="false">IF(OR($D138="",$C138=""),"",MATCH(MAX(10,MIN(150,$C138)),'Flow Curves'!$A$5:$A$11,1))</f>
        <v/>
      </c>
      <c r="X138" s="2" t="str">
        <f aca="false">IF($W138="","",MIN($W138+1,7))</f>
        <v/>
      </c>
      <c r="Y138" s="2" t="str">
        <f aca="false">IF($W138="","",INDEX('Flow Curves'!$B$5:$B$11,$W138)*POWER($D138,INDEX('Flow Curves'!$C$5:$C$11,$W138)))</f>
        <v/>
      </c>
      <c r="Z138" s="2" t="str">
        <f aca="false">IF($W138="","",INDEX('Flow Curves'!$B$5:$B$11,$X138)*POWER($D138,INDEX('Flow Curves'!$C$5:$C$11,$X138)))</f>
        <v/>
      </c>
    </row>
    <row r="139" customFormat="false" ht="15" hidden="false" customHeight="false" outlineLevel="0" collapsed="false">
      <c r="A139" s="16" t="n">
        <v>132</v>
      </c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8" t="n">
        <f aca="false">IF($O139=0,0,$O139*60*Cost!$D$16*Cost!$D$17*IFERROR(INDEX(Cost!$I$5:$I$11,MATCH($B139,Cost!$H$5:$H$11,0)),0)/Cost!$D$5)</f>
        <v>0</v>
      </c>
      <c r="O139" s="19" t="n">
        <f aca="false">IF($W139="",0,IF(INDEX('Flow Curves'!$A$5:$A$11,$X139)=INDEX('Flow Curves'!$A$5:$A$11,$W139),$Y139,$Y139+($Z139-$Y139)*(MAX(10,MIN(150,$C139))-INDEX('Flow Curves'!$A$5:$A$11,$W139))/(INDEX('Flow Curves'!$A$5:$A$11,$X139)-INDEX('Flow Curves'!$A$5:$A$11,$W139))))</f>
        <v>0</v>
      </c>
      <c r="P139" s="20" t="n">
        <f aca="false">IF(OR($B139="Air",$B139="Open Blow"),$O139*60*Cost!$D$16*Cost!$D$17/Cost!$D$5*Cost!$D$13,0)</f>
        <v>0</v>
      </c>
      <c r="Q139" s="17"/>
      <c r="U139" s="16" t="str">
        <f aca="false">IF($D139="","",IF(ISNA(MATCH($B139,Cost!$H$5:$H$11,0)),"CHECK GAS TYPE",IF(OR($C139&lt;10,$C139&gt;150),"CHECK PRESSURE: outside 10-150 psi table",IF(OR($D139&lt;1,$D139&gt;120),"CHECK dB: outside 1-120 table",IF(ISNA(MATCH($C139,'Flow Curves'!$A$5:$A$11,0)),"INTERPOLATED between curves","Table curve")))))</f>
        <v/>
      </c>
      <c r="W139" s="2" t="str">
        <f aca="false">IF(OR($D139="",$C139=""),"",MATCH(MAX(10,MIN(150,$C139)),'Flow Curves'!$A$5:$A$11,1))</f>
        <v/>
      </c>
      <c r="X139" s="2" t="str">
        <f aca="false">IF($W139="","",MIN($W139+1,7))</f>
        <v/>
      </c>
      <c r="Y139" s="2" t="str">
        <f aca="false">IF($W139="","",INDEX('Flow Curves'!$B$5:$B$11,$W139)*POWER($D139,INDEX('Flow Curves'!$C$5:$C$11,$W139)))</f>
        <v/>
      </c>
      <c r="Z139" s="2" t="str">
        <f aca="false">IF($W139="","",INDEX('Flow Curves'!$B$5:$B$11,$X139)*POWER($D139,INDEX('Flow Curves'!$C$5:$C$11,$X139)))</f>
        <v/>
      </c>
    </row>
    <row r="140" customFormat="false" ht="15" hidden="false" customHeight="false" outlineLevel="0" collapsed="false">
      <c r="A140" s="16" t="n">
        <v>133</v>
      </c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8" t="n">
        <f aca="false">IF($O140=0,0,$O140*60*Cost!$D$16*Cost!$D$17*IFERROR(INDEX(Cost!$I$5:$I$11,MATCH($B140,Cost!$H$5:$H$11,0)),0)/Cost!$D$5)</f>
        <v>0</v>
      </c>
      <c r="O140" s="19" t="n">
        <f aca="false">IF($W140="",0,IF(INDEX('Flow Curves'!$A$5:$A$11,$X140)=INDEX('Flow Curves'!$A$5:$A$11,$W140),$Y140,$Y140+($Z140-$Y140)*(MAX(10,MIN(150,$C140))-INDEX('Flow Curves'!$A$5:$A$11,$W140))/(INDEX('Flow Curves'!$A$5:$A$11,$X140)-INDEX('Flow Curves'!$A$5:$A$11,$W140))))</f>
        <v>0</v>
      </c>
      <c r="P140" s="20" t="n">
        <f aca="false">IF(OR($B140="Air",$B140="Open Blow"),$O140*60*Cost!$D$16*Cost!$D$17/Cost!$D$5*Cost!$D$13,0)</f>
        <v>0</v>
      </c>
      <c r="Q140" s="17"/>
      <c r="U140" s="16" t="str">
        <f aca="false">IF($D140="","",IF(ISNA(MATCH($B140,Cost!$H$5:$H$11,0)),"CHECK GAS TYPE",IF(OR($C140&lt;10,$C140&gt;150),"CHECK PRESSURE: outside 10-150 psi table",IF(OR($D140&lt;1,$D140&gt;120),"CHECK dB: outside 1-120 table",IF(ISNA(MATCH($C140,'Flow Curves'!$A$5:$A$11,0)),"INTERPOLATED between curves","Table curve")))))</f>
        <v/>
      </c>
      <c r="W140" s="2" t="str">
        <f aca="false">IF(OR($D140="",$C140=""),"",MATCH(MAX(10,MIN(150,$C140)),'Flow Curves'!$A$5:$A$11,1))</f>
        <v/>
      </c>
      <c r="X140" s="2" t="str">
        <f aca="false">IF($W140="","",MIN($W140+1,7))</f>
        <v/>
      </c>
      <c r="Y140" s="2" t="str">
        <f aca="false">IF($W140="","",INDEX('Flow Curves'!$B$5:$B$11,$W140)*POWER($D140,INDEX('Flow Curves'!$C$5:$C$11,$W140)))</f>
        <v/>
      </c>
      <c r="Z140" s="2" t="str">
        <f aca="false">IF($W140="","",INDEX('Flow Curves'!$B$5:$B$11,$X140)*POWER($D140,INDEX('Flow Curves'!$C$5:$C$11,$X140)))</f>
        <v/>
      </c>
    </row>
    <row r="141" customFormat="false" ht="15" hidden="false" customHeight="false" outlineLevel="0" collapsed="false">
      <c r="A141" s="16" t="n">
        <v>134</v>
      </c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8" t="n">
        <f aca="false">IF($O141=0,0,$O141*60*Cost!$D$16*Cost!$D$17*IFERROR(INDEX(Cost!$I$5:$I$11,MATCH($B141,Cost!$H$5:$H$11,0)),0)/Cost!$D$5)</f>
        <v>0</v>
      </c>
      <c r="O141" s="19" t="n">
        <f aca="false">IF($W141="",0,IF(INDEX('Flow Curves'!$A$5:$A$11,$X141)=INDEX('Flow Curves'!$A$5:$A$11,$W141),$Y141,$Y141+($Z141-$Y141)*(MAX(10,MIN(150,$C141))-INDEX('Flow Curves'!$A$5:$A$11,$W141))/(INDEX('Flow Curves'!$A$5:$A$11,$X141)-INDEX('Flow Curves'!$A$5:$A$11,$W141))))</f>
        <v>0</v>
      </c>
      <c r="P141" s="20" t="n">
        <f aca="false">IF(OR($B141="Air",$B141="Open Blow"),$O141*60*Cost!$D$16*Cost!$D$17/Cost!$D$5*Cost!$D$13,0)</f>
        <v>0</v>
      </c>
      <c r="Q141" s="17"/>
      <c r="U141" s="16" t="str">
        <f aca="false">IF($D141="","",IF(ISNA(MATCH($B141,Cost!$H$5:$H$11,0)),"CHECK GAS TYPE",IF(OR($C141&lt;10,$C141&gt;150),"CHECK PRESSURE: outside 10-150 psi table",IF(OR($D141&lt;1,$D141&gt;120),"CHECK dB: outside 1-120 table",IF(ISNA(MATCH($C141,'Flow Curves'!$A$5:$A$11,0)),"INTERPOLATED between curves","Table curve")))))</f>
        <v/>
      </c>
      <c r="W141" s="2" t="str">
        <f aca="false">IF(OR($D141="",$C141=""),"",MATCH(MAX(10,MIN(150,$C141)),'Flow Curves'!$A$5:$A$11,1))</f>
        <v/>
      </c>
      <c r="X141" s="2" t="str">
        <f aca="false">IF($W141="","",MIN($W141+1,7))</f>
        <v/>
      </c>
      <c r="Y141" s="2" t="str">
        <f aca="false">IF($W141="","",INDEX('Flow Curves'!$B$5:$B$11,$W141)*POWER($D141,INDEX('Flow Curves'!$C$5:$C$11,$W141)))</f>
        <v/>
      </c>
      <c r="Z141" s="2" t="str">
        <f aca="false">IF($W141="","",INDEX('Flow Curves'!$B$5:$B$11,$X141)*POWER($D141,INDEX('Flow Curves'!$C$5:$C$11,$X141)))</f>
        <v/>
      </c>
    </row>
    <row r="142" customFormat="false" ht="15" hidden="false" customHeight="false" outlineLevel="0" collapsed="false">
      <c r="A142" s="16" t="n">
        <v>135</v>
      </c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8" t="n">
        <f aca="false">IF($O142=0,0,$O142*60*Cost!$D$16*Cost!$D$17*IFERROR(INDEX(Cost!$I$5:$I$11,MATCH($B142,Cost!$H$5:$H$11,0)),0)/Cost!$D$5)</f>
        <v>0</v>
      </c>
      <c r="O142" s="19" t="n">
        <f aca="false">IF($W142="",0,IF(INDEX('Flow Curves'!$A$5:$A$11,$X142)=INDEX('Flow Curves'!$A$5:$A$11,$W142),$Y142,$Y142+($Z142-$Y142)*(MAX(10,MIN(150,$C142))-INDEX('Flow Curves'!$A$5:$A$11,$W142))/(INDEX('Flow Curves'!$A$5:$A$11,$X142)-INDEX('Flow Curves'!$A$5:$A$11,$W142))))</f>
        <v>0</v>
      </c>
      <c r="P142" s="20" t="n">
        <f aca="false">IF(OR($B142="Air",$B142="Open Blow"),$O142*60*Cost!$D$16*Cost!$D$17/Cost!$D$5*Cost!$D$13,0)</f>
        <v>0</v>
      </c>
      <c r="Q142" s="17"/>
      <c r="U142" s="16" t="str">
        <f aca="false">IF($D142="","",IF(ISNA(MATCH($B142,Cost!$H$5:$H$11,0)),"CHECK GAS TYPE",IF(OR($C142&lt;10,$C142&gt;150),"CHECK PRESSURE: outside 10-150 psi table",IF(OR($D142&lt;1,$D142&gt;120),"CHECK dB: outside 1-120 table",IF(ISNA(MATCH($C142,'Flow Curves'!$A$5:$A$11,0)),"INTERPOLATED between curves","Table curve")))))</f>
        <v/>
      </c>
      <c r="W142" s="2" t="str">
        <f aca="false">IF(OR($D142="",$C142=""),"",MATCH(MAX(10,MIN(150,$C142)),'Flow Curves'!$A$5:$A$11,1))</f>
        <v/>
      </c>
      <c r="X142" s="2" t="str">
        <f aca="false">IF($W142="","",MIN($W142+1,7))</f>
        <v/>
      </c>
      <c r="Y142" s="2" t="str">
        <f aca="false">IF($W142="","",INDEX('Flow Curves'!$B$5:$B$11,$W142)*POWER($D142,INDEX('Flow Curves'!$C$5:$C$11,$W142)))</f>
        <v/>
      </c>
      <c r="Z142" s="2" t="str">
        <f aca="false">IF($W142="","",INDEX('Flow Curves'!$B$5:$B$11,$X142)*POWER($D142,INDEX('Flow Curves'!$C$5:$C$11,$X142)))</f>
        <v/>
      </c>
    </row>
    <row r="143" customFormat="false" ht="15" hidden="false" customHeight="false" outlineLevel="0" collapsed="false">
      <c r="A143" s="16" t="n">
        <v>136</v>
      </c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8" t="n">
        <f aca="false">IF($O143=0,0,$O143*60*Cost!$D$16*Cost!$D$17*IFERROR(INDEX(Cost!$I$5:$I$11,MATCH($B143,Cost!$H$5:$H$11,0)),0)/Cost!$D$5)</f>
        <v>0</v>
      </c>
      <c r="O143" s="19" t="n">
        <f aca="false">IF($W143="",0,IF(INDEX('Flow Curves'!$A$5:$A$11,$X143)=INDEX('Flow Curves'!$A$5:$A$11,$W143),$Y143,$Y143+($Z143-$Y143)*(MAX(10,MIN(150,$C143))-INDEX('Flow Curves'!$A$5:$A$11,$W143))/(INDEX('Flow Curves'!$A$5:$A$11,$X143)-INDEX('Flow Curves'!$A$5:$A$11,$W143))))</f>
        <v>0</v>
      </c>
      <c r="P143" s="20" t="n">
        <f aca="false">IF(OR($B143="Air",$B143="Open Blow"),$O143*60*Cost!$D$16*Cost!$D$17/Cost!$D$5*Cost!$D$13,0)</f>
        <v>0</v>
      </c>
      <c r="Q143" s="17"/>
      <c r="U143" s="16" t="str">
        <f aca="false">IF($D143="","",IF(ISNA(MATCH($B143,Cost!$H$5:$H$11,0)),"CHECK GAS TYPE",IF(OR($C143&lt;10,$C143&gt;150),"CHECK PRESSURE: outside 10-150 psi table",IF(OR($D143&lt;1,$D143&gt;120),"CHECK dB: outside 1-120 table",IF(ISNA(MATCH($C143,'Flow Curves'!$A$5:$A$11,0)),"INTERPOLATED between curves","Table curve")))))</f>
        <v/>
      </c>
      <c r="W143" s="2" t="str">
        <f aca="false">IF(OR($D143="",$C143=""),"",MATCH(MAX(10,MIN(150,$C143)),'Flow Curves'!$A$5:$A$11,1))</f>
        <v/>
      </c>
      <c r="X143" s="2" t="str">
        <f aca="false">IF($W143="","",MIN($W143+1,7))</f>
        <v/>
      </c>
      <c r="Y143" s="2" t="str">
        <f aca="false">IF($W143="","",INDEX('Flow Curves'!$B$5:$B$11,$W143)*POWER($D143,INDEX('Flow Curves'!$C$5:$C$11,$W143)))</f>
        <v/>
      </c>
      <c r="Z143" s="2" t="str">
        <f aca="false">IF($W143="","",INDEX('Flow Curves'!$B$5:$B$11,$X143)*POWER($D143,INDEX('Flow Curves'!$C$5:$C$11,$X143)))</f>
        <v/>
      </c>
    </row>
    <row r="144" customFormat="false" ht="15" hidden="false" customHeight="false" outlineLevel="0" collapsed="false">
      <c r="A144" s="16" t="n">
        <v>137</v>
      </c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8" t="n">
        <f aca="false">IF($O144=0,0,$O144*60*Cost!$D$16*Cost!$D$17*IFERROR(INDEX(Cost!$I$5:$I$11,MATCH($B144,Cost!$H$5:$H$11,0)),0)/Cost!$D$5)</f>
        <v>0</v>
      </c>
      <c r="O144" s="19" t="n">
        <f aca="false">IF($W144="",0,IF(INDEX('Flow Curves'!$A$5:$A$11,$X144)=INDEX('Flow Curves'!$A$5:$A$11,$W144),$Y144,$Y144+($Z144-$Y144)*(MAX(10,MIN(150,$C144))-INDEX('Flow Curves'!$A$5:$A$11,$W144))/(INDEX('Flow Curves'!$A$5:$A$11,$X144)-INDEX('Flow Curves'!$A$5:$A$11,$W144))))</f>
        <v>0</v>
      </c>
      <c r="P144" s="20" t="n">
        <f aca="false">IF(OR($B144="Air",$B144="Open Blow"),$O144*60*Cost!$D$16*Cost!$D$17/Cost!$D$5*Cost!$D$13,0)</f>
        <v>0</v>
      </c>
      <c r="Q144" s="17"/>
      <c r="U144" s="16" t="str">
        <f aca="false">IF($D144="","",IF(ISNA(MATCH($B144,Cost!$H$5:$H$11,0)),"CHECK GAS TYPE",IF(OR($C144&lt;10,$C144&gt;150),"CHECK PRESSURE: outside 10-150 psi table",IF(OR($D144&lt;1,$D144&gt;120),"CHECK dB: outside 1-120 table",IF(ISNA(MATCH($C144,'Flow Curves'!$A$5:$A$11,0)),"INTERPOLATED between curves","Table curve")))))</f>
        <v/>
      </c>
      <c r="W144" s="2" t="str">
        <f aca="false">IF(OR($D144="",$C144=""),"",MATCH(MAX(10,MIN(150,$C144)),'Flow Curves'!$A$5:$A$11,1))</f>
        <v/>
      </c>
      <c r="X144" s="2" t="str">
        <f aca="false">IF($W144="","",MIN($W144+1,7))</f>
        <v/>
      </c>
      <c r="Y144" s="2" t="str">
        <f aca="false">IF($W144="","",INDEX('Flow Curves'!$B$5:$B$11,$W144)*POWER($D144,INDEX('Flow Curves'!$C$5:$C$11,$W144)))</f>
        <v/>
      </c>
      <c r="Z144" s="2" t="str">
        <f aca="false">IF($W144="","",INDEX('Flow Curves'!$B$5:$B$11,$X144)*POWER($D144,INDEX('Flow Curves'!$C$5:$C$11,$X144)))</f>
        <v/>
      </c>
    </row>
    <row r="145" customFormat="false" ht="15" hidden="false" customHeight="false" outlineLevel="0" collapsed="false">
      <c r="A145" s="16" t="n">
        <v>138</v>
      </c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8" t="n">
        <f aca="false">IF($O145=0,0,$O145*60*Cost!$D$16*Cost!$D$17*IFERROR(INDEX(Cost!$I$5:$I$11,MATCH($B145,Cost!$H$5:$H$11,0)),0)/Cost!$D$5)</f>
        <v>0</v>
      </c>
      <c r="O145" s="19" t="n">
        <f aca="false">IF($W145="",0,IF(INDEX('Flow Curves'!$A$5:$A$11,$X145)=INDEX('Flow Curves'!$A$5:$A$11,$W145),$Y145,$Y145+($Z145-$Y145)*(MAX(10,MIN(150,$C145))-INDEX('Flow Curves'!$A$5:$A$11,$W145))/(INDEX('Flow Curves'!$A$5:$A$11,$X145)-INDEX('Flow Curves'!$A$5:$A$11,$W145))))</f>
        <v>0</v>
      </c>
      <c r="P145" s="20" t="n">
        <f aca="false">IF(OR($B145="Air",$B145="Open Blow"),$O145*60*Cost!$D$16*Cost!$D$17/Cost!$D$5*Cost!$D$13,0)</f>
        <v>0</v>
      </c>
      <c r="Q145" s="17"/>
      <c r="U145" s="16" t="str">
        <f aca="false">IF($D145="","",IF(ISNA(MATCH($B145,Cost!$H$5:$H$11,0)),"CHECK GAS TYPE",IF(OR($C145&lt;10,$C145&gt;150),"CHECK PRESSURE: outside 10-150 psi table",IF(OR($D145&lt;1,$D145&gt;120),"CHECK dB: outside 1-120 table",IF(ISNA(MATCH($C145,'Flow Curves'!$A$5:$A$11,0)),"INTERPOLATED between curves","Table curve")))))</f>
        <v/>
      </c>
      <c r="W145" s="2" t="str">
        <f aca="false">IF(OR($D145="",$C145=""),"",MATCH(MAX(10,MIN(150,$C145)),'Flow Curves'!$A$5:$A$11,1))</f>
        <v/>
      </c>
      <c r="X145" s="2" t="str">
        <f aca="false">IF($W145="","",MIN($W145+1,7))</f>
        <v/>
      </c>
      <c r="Y145" s="2" t="str">
        <f aca="false">IF($W145="","",INDEX('Flow Curves'!$B$5:$B$11,$W145)*POWER($D145,INDEX('Flow Curves'!$C$5:$C$11,$W145)))</f>
        <v/>
      </c>
      <c r="Z145" s="2" t="str">
        <f aca="false">IF($W145="","",INDEX('Flow Curves'!$B$5:$B$11,$X145)*POWER($D145,INDEX('Flow Curves'!$C$5:$C$11,$X145)))</f>
        <v/>
      </c>
    </row>
    <row r="146" customFormat="false" ht="15" hidden="false" customHeight="false" outlineLevel="0" collapsed="false">
      <c r="A146" s="16" t="n">
        <v>139</v>
      </c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8" t="n">
        <f aca="false">IF($O146=0,0,$O146*60*Cost!$D$16*Cost!$D$17*IFERROR(INDEX(Cost!$I$5:$I$11,MATCH($B146,Cost!$H$5:$H$11,0)),0)/Cost!$D$5)</f>
        <v>0</v>
      </c>
      <c r="O146" s="19" t="n">
        <f aca="false">IF($W146="",0,IF(INDEX('Flow Curves'!$A$5:$A$11,$X146)=INDEX('Flow Curves'!$A$5:$A$11,$W146),$Y146,$Y146+($Z146-$Y146)*(MAX(10,MIN(150,$C146))-INDEX('Flow Curves'!$A$5:$A$11,$W146))/(INDEX('Flow Curves'!$A$5:$A$11,$X146)-INDEX('Flow Curves'!$A$5:$A$11,$W146))))</f>
        <v>0</v>
      </c>
      <c r="P146" s="20" t="n">
        <f aca="false">IF(OR($B146="Air",$B146="Open Blow"),$O146*60*Cost!$D$16*Cost!$D$17/Cost!$D$5*Cost!$D$13,0)</f>
        <v>0</v>
      </c>
      <c r="Q146" s="17"/>
      <c r="U146" s="16" t="str">
        <f aca="false">IF($D146="","",IF(ISNA(MATCH($B146,Cost!$H$5:$H$11,0)),"CHECK GAS TYPE",IF(OR($C146&lt;10,$C146&gt;150),"CHECK PRESSURE: outside 10-150 psi table",IF(OR($D146&lt;1,$D146&gt;120),"CHECK dB: outside 1-120 table",IF(ISNA(MATCH($C146,'Flow Curves'!$A$5:$A$11,0)),"INTERPOLATED between curves","Table curve")))))</f>
        <v/>
      </c>
      <c r="W146" s="2" t="str">
        <f aca="false">IF(OR($D146="",$C146=""),"",MATCH(MAX(10,MIN(150,$C146)),'Flow Curves'!$A$5:$A$11,1))</f>
        <v/>
      </c>
      <c r="X146" s="2" t="str">
        <f aca="false">IF($W146="","",MIN($W146+1,7))</f>
        <v/>
      </c>
      <c r="Y146" s="2" t="str">
        <f aca="false">IF($W146="","",INDEX('Flow Curves'!$B$5:$B$11,$W146)*POWER($D146,INDEX('Flow Curves'!$C$5:$C$11,$W146)))</f>
        <v/>
      </c>
      <c r="Z146" s="2" t="str">
        <f aca="false">IF($W146="","",INDEX('Flow Curves'!$B$5:$B$11,$X146)*POWER($D146,INDEX('Flow Curves'!$C$5:$C$11,$X146)))</f>
        <v/>
      </c>
    </row>
    <row r="147" customFormat="false" ht="15" hidden="false" customHeight="false" outlineLevel="0" collapsed="false">
      <c r="A147" s="16" t="n">
        <v>140</v>
      </c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8" t="n">
        <f aca="false">IF($O147=0,0,$O147*60*Cost!$D$16*Cost!$D$17*IFERROR(INDEX(Cost!$I$5:$I$11,MATCH($B147,Cost!$H$5:$H$11,0)),0)/Cost!$D$5)</f>
        <v>0</v>
      </c>
      <c r="O147" s="19" t="n">
        <f aca="false">IF($W147="",0,IF(INDEX('Flow Curves'!$A$5:$A$11,$X147)=INDEX('Flow Curves'!$A$5:$A$11,$W147),$Y147,$Y147+($Z147-$Y147)*(MAX(10,MIN(150,$C147))-INDEX('Flow Curves'!$A$5:$A$11,$W147))/(INDEX('Flow Curves'!$A$5:$A$11,$X147)-INDEX('Flow Curves'!$A$5:$A$11,$W147))))</f>
        <v>0</v>
      </c>
      <c r="P147" s="20" t="n">
        <f aca="false">IF(OR($B147="Air",$B147="Open Blow"),$O147*60*Cost!$D$16*Cost!$D$17/Cost!$D$5*Cost!$D$13,0)</f>
        <v>0</v>
      </c>
      <c r="Q147" s="17"/>
      <c r="U147" s="16" t="str">
        <f aca="false">IF($D147="","",IF(ISNA(MATCH($B147,Cost!$H$5:$H$11,0)),"CHECK GAS TYPE",IF(OR($C147&lt;10,$C147&gt;150),"CHECK PRESSURE: outside 10-150 psi table",IF(OR($D147&lt;1,$D147&gt;120),"CHECK dB: outside 1-120 table",IF(ISNA(MATCH($C147,'Flow Curves'!$A$5:$A$11,0)),"INTERPOLATED between curves","Table curve")))))</f>
        <v/>
      </c>
      <c r="W147" s="2" t="str">
        <f aca="false">IF(OR($D147="",$C147=""),"",MATCH(MAX(10,MIN(150,$C147)),'Flow Curves'!$A$5:$A$11,1))</f>
        <v/>
      </c>
      <c r="X147" s="2" t="str">
        <f aca="false">IF($W147="","",MIN($W147+1,7))</f>
        <v/>
      </c>
      <c r="Y147" s="2" t="str">
        <f aca="false">IF($W147="","",INDEX('Flow Curves'!$B$5:$B$11,$W147)*POWER($D147,INDEX('Flow Curves'!$C$5:$C$11,$W147)))</f>
        <v/>
      </c>
      <c r="Z147" s="2" t="str">
        <f aca="false">IF($W147="","",INDEX('Flow Curves'!$B$5:$B$11,$X147)*POWER($D147,INDEX('Flow Curves'!$C$5:$C$11,$X147)))</f>
        <v/>
      </c>
    </row>
    <row r="148" customFormat="false" ht="15" hidden="false" customHeight="false" outlineLevel="0" collapsed="false">
      <c r="A148" s="16" t="n">
        <v>141</v>
      </c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8" t="n">
        <f aca="false">IF($O148=0,0,$O148*60*Cost!$D$16*Cost!$D$17*IFERROR(INDEX(Cost!$I$5:$I$11,MATCH($B148,Cost!$H$5:$H$11,0)),0)/Cost!$D$5)</f>
        <v>0</v>
      </c>
      <c r="O148" s="19" t="n">
        <f aca="false">IF($W148="",0,IF(INDEX('Flow Curves'!$A$5:$A$11,$X148)=INDEX('Flow Curves'!$A$5:$A$11,$W148),$Y148,$Y148+($Z148-$Y148)*(MAX(10,MIN(150,$C148))-INDEX('Flow Curves'!$A$5:$A$11,$W148))/(INDEX('Flow Curves'!$A$5:$A$11,$X148)-INDEX('Flow Curves'!$A$5:$A$11,$W148))))</f>
        <v>0</v>
      </c>
      <c r="P148" s="20" t="n">
        <f aca="false">IF(OR($B148="Air",$B148="Open Blow"),$O148*60*Cost!$D$16*Cost!$D$17/Cost!$D$5*Cost!$D$13,0)</f>
        <v>0</v>
      </c>
      <c r="Q148" s="17"/>
      <c r="U148" s="16" t="str">
        <f aca="false">IF($D148="","",IF(ISNA(MATCH($B148,Cost!$H$5:$H$11,0)),"CHECK GAS TYPE",IF(OR($C148&lt;10,$C148&gt;150),"CHECK PRESSURE: outside 10-150 psi table",IF(OR($D148&lt;1,$D148&gt;120),"CHECK dB: outside 1-120 table",IF(ISNA(MATCH($C148,'Flow Curves'!$A$5:$A$11,0)),"INTERPOLATED between curves","Table curve")))))</f>
        <v/>
      </c>
      <c r="W148" s="2" t="str">
        <f aca="false">IF(OR($D148="",$C148=""),"",MATCH(MAX(10,MIN(150,$C148)),'Flow Curves'!$A$5:$A$11,1))</f>
        <v/>
      </c>
      <c r="X148" s="2" t="str">
        <f aca="false">IF($W148="","",MIN($W148+1,7))</f>
        <v/>
      </c>
      <c r="Y148" s="2" t="str">
        <f aca="false">IF($W148="","",INDEX('Flow Curves'!$B$5:$B$11,$W148)*POWER($D148,INDEX('Flow Curves'!$C$5:$C$11,$W148)))</f>
        <v/>
      </c>
      <c r="Z148" s="2" t="str">
        <f aca="false">IF($W148="","",INDEX('Flow Curves'!$B$5:$B$11,$X148)*POWER($D148,INDEX('Flow Curves'!$C$5:$C$11,$X148)))</f>
        <v/>
      </c>
    </row>
    <row r="149" customFormat="false" ht="15" hidden="false" customHeight="false" outlineLevel="0" collapsed="false">
      <c r="A149" s="16" t="n">
        <v>142</v>
      </c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8" t="n">
        <f aca="false">IF($O149=0,0,$O149*60*Cost!$D$16*Cost!$D$17*IFERROR(INDEX(Cost!$I$5:$I$11,MATCH($B149,Cost!$H$5:$H$11,0)),0)/Cost!$D$5)</f>
        <v>0</v>
      </c>
      <c r="O149" s="19" t="n">
        <f aca="false">IF($W149="",0,IF(INDEX('Flow Curves'!$A$5:$A$11,$X149)=INDEX('Flow Curves'!$A$5:$A$11,$W149),$Y149,$Y149+($Z149-$Y149)*(MAX(10,MIN(150,$C149))-INDEX('Flow Curves'!$A$5:$A$11,$W149))/(INDEX('Flow Curves'!$A$5:$A$11,$X149)-INDEX('Flow Curves'!$A$5:$A$11,$W149))))</f>
        <v>0</v>
      </c>
      <c r="P149" s="20" t="n">
        <f aca="false">IF(OR($B149="Air",$B149="Open Blow"),$O149*60*Cost!$D$16*Cost!$D$17/Cost!$D$5*Cost!$D$13,0)</f>
        <v>0</v>
      </c>
      <c r="Q149" s="17"/>
      <c r="U149" s="16" t="str">
        <f aca="false">IF($D149="","",IF(ISNA(MATCH($B149,Cost!$H$5:$H$11,0)),"CHECK GAS TYPE",IF(OR($C149&lt;10,$C149&gt;150),"CHECK PRESSURE: outside 10-150 psi table",IF(OR($D149&lt;1,$D149&gt;120),"CHECK dB: outside 1-120 table",IF(ISNA(MATCH($C149,'Flow Curves'!$A$5:$A$11,0)),"INTERPOLATED between curves","Table curve")))))</f>
        <v/>
      </c>
      <c r="W149" s="2" t="str">
        <f aca="false">IF(OR($D149="",$C149=""),"",MATCH(MAX(10,MIN(150,$C149)),'Flow Curves'!$A$5:$A$11,1))</f>
        <v/>
      </c>
      <c r="X149" s="2" t="str">
        <f aca="false">IF($W149="","",MIN($W149+1,7))</f>
        <v/>
      </c>
      <c r="Y149" s="2" t="str">
        <f aca="false">IF($W149="","",INDEX('Flow Curves'!$B$5:$B$11,$W149)*POWER($D149,INDEX('Flow Curves'!$C$5:$C$11,$W149)))</f>
        <v/>
      </c>
      <c r="Z149" s="2" t="str">
        <f aca="false">IF($W149="","",INDEX('Flow Curves'!$B$5:$B$11,$X149)*POWER($D149,INDEX('Flow Curves'!$C$5:$C$11,$X149)))</f>
        <v/>
      </c>
    </row>
    <row r="150" customFormat="false" ht="15" hidden="false" customHeight="false" outlineLevel="0" collapsed="false">
      <c r="A150" s="16" t="n">
        <v>143</v>
      </c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8" t="n">
        <f aca="false">IF($O150=0,0,$O150*60*Cost!$D$16*Cost!$D$17*IFERROR(INDEX(Cost!$I$5:$I$11,MATCH($B150,Cost!$H$5:$H$11,0)),0)/Cost!$D$5)</f>
        <v>0</v>
      </c>
      <c r="O150" s="19" t="n">
        <f aca="false">IF($W150="",0,IF(INDEX('Flow Curves'!$A$5:$A$11,$X150)=INDEX('Flow Curves'!$A$5:$A$11,$W150),$Y150,$Y150+($Z150-$Y150)*(MAX(10,MIN(150,$C150))-INDEX('Flow Curves'!$A$5:$A$11,$W150))/(INDEX('Flow Curves'!$A$5:$A$11,$X150)-INDEX('Flow Curves'!$A$5:$A$11,$W150))))</f>
        <v>0</v>
      </c>
      <c r="P150" s="20" t="n">
        <f aca="false">IF(OR($B150="Air",$B150="Open Blow"),$O150*60*Cost!$D$16*Cost!$D$17/Cost!$D$5*Cost!$D$13,0)</f>
        <v>0</v>
      </c>
      <c r="Q150" s="17"/>
      <c r="U150" s="16" t="str">
        <f aca="false">IF($D150="","",IF(ISNA(MATCH($B150,Cost!$H$5:$H$11,0)),"CHECK GAS TYPE",IF(OR($C150&lt;10,$C150&gt;150),"CHECK PRESSURE: outside 10-150 psi table",IF(OR($D150&lt;1,$D150&gt;120),"CHECK dB: outside 1-120 table",IF(ISNA(MATCH($C150,'Flow Curves'!$A$5:$A$11,0)),"INTERPOLATED between curves","Table curve")))))</f>
        <v/>
      </c>
      <c r="W150" s="2" t="str">
        <f aca="false">IF(OR($D150="",$C150=""),"",MATCH(MAX(10,MIN(150,$C150)),'Flow Curves'!$A$5:$A$11,1))</f>
        <v/>
      </c>
      <c r="X150" s="2" t="str">
        <f aca="false">IF($W150="","",MIN($W150+1,7))</f>
        <v/>
      </c>
      <c r="Y150" s="2" t="str">
        <f aca="false">IF($W150="","",INDEX('Flow Curves'!$B$5:$B$11,$W150)*POWER($D150,INDEX('Flow Curves'!$C$5:$C$11,$W150)))</f>
        <v/>
      </c>
      <c r="Z150" s="2" t="str">
        <f aca="false">IF($W150="","",INDEX('Flow Curves'!$B$5:$B$11,$X150)*POWER($D150,INDEX('Flow Curves'!$C$5:$C$11,$X150)))</f>
        <v/>
      </c>
    </row>
    <row r="151" customFormat="false" ht="15" hidden="false" customHeight="false" outlineLevel="0" collapsed="false">
      <c r="A151" s="16" t="n">
        <v>144</v>
      </c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8" t="n">
        <f aca="false">IF($O151=0,0,$O151*60*Cost!$D$16*Cost!$D$17*IFERROR(INDEX(Cost!$I$5:$I$11,MATCH($B151,Cost!$H$5:$H$11,0)),0)/Cost!$D$5)</f>
        <v>0</v>
      </c>
      <c r="O151" s="19" t="n">
        <f aca="false">IF($W151="",0,IF(INDEX('Flow Curves'!$A$5:$A$11,$X151)=INDEX('Flow Curves'!$A$5:$A$11,$W151),$Y151,$Y151+($Z151-$Y151)*(MAX(10,MIN(150,$C151))-INDEX('Flow Curves'!$A$5:$A$11,$W151))/(INDEX('Flow Curves'!$A$5:$A$11,$X151)-INDEX('Flow Curves'!$A$5:$A$11,$W151))))</f>
        <v>0</v>
      </c>
      <c r="P151" s="20" t="n">
        <f aca="false">IF(OR($B151="Air",$B151="Open Blow"),$O151*60*Cost!$D$16*Cost!$D$17/Cost!$D$5*Cost!$D$13,0)</f>
        <v>0</v>
      </c>
      <c r="Q151" s="17"/>
      <c r="U151" s="16" t="str">
        <f aca="false">IF($D151="","",IF(ISNA(MATCH($B151,Cost!$H$5:$H$11,0)),"CHECK GAS TYPE",IF(OR($C151&lt;10,$C151&gt;150),"CHECK PRESSURE: outside 10-150 psi table",IF(OR($D151&lt;1,$D151&gt;120),"CHECK dB: outside 1-120 table",IF(ISNA(MATCH($C151,'Flow Curves'!$A$5:$A$11,0)),"INTERPOLATED between curves","Table curve")))))</f>
        <v/>
      </c>
      <c r="W151" s="2" t="str">
        <f aca="false">IF(OR($D151="",$C151=""),"",MATCH(MAX(10,MIN(150,$C151)),'Flow Curves'!$A$5:$A$11,1))</f>
        <v/>
      </c>
      <c r="X151" s="2" t="str">
        <f aca="false">IF($W151="","",MIN($W151+1,7))</f>
        <v/>
      </c>
      <c r="Y151" s="2" t="str">
        <f aca="false">IF($W151="","",INDEX('Flow Curves'!$B$5:$B$11,$W151)*POWER($D151,INDEX('Flow Curves'!$C$5:$C$11,$W151)))</f>
        <v/>
      </c>
      <c r="Z151" s="2" t="str">
        <f aca="false">IF($W151="","",INDEX('Flow Curves'!$B$5:$B$11,$X151)*POWER($D151,INDEX('Flow Curves'!$C$5:$C$11,$X151)))</f>
        <v/>
      </c>
    </row>
    <row r="152" customFormat="false" ht="15" hidden="false" customHeight="false" outlineLevel="0" collapsed="false">
      <c r="A152" s="16" t="n">
        <v>145</v>
      </c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8" t="n">
        <f aca="false">IF($O152=0,0,$O152*60*Cost!$D$16*Cost!$D$17*IFERROR(INDEX(Cost!$I$5:$I$11,MATCH($B152,Cost!$H$5:$H$11,0)),0)/Cost!$D$5)</f>
        <v>0</v>
      </c>
      <c r="O152" s="19" t="n">
        <f aca="false">IF($W152="",0,IF(INDEX('Flow Curves'!$A$5:$A$11,$X152)=INDEX('Flow Curves'!$A$5:$A$11,$W152),$Y152,$Y152+($Z152-$Y152)*(MAX(10,MIN(150,$C152))-INDEX('Flow Curves'!$A$5:$A$11,$W152))/(INDEX('Flow Curves'!$A$5:$A$11,$X152)-INDEX('Flow Curves'!$A$5:$A$11,$W152))))</f>
        <v>0</v>
      </c>
      <c r="P152" s="20" t="n">
        <f aca="false">IF(OR($B152="Air",$B152="Open Blow"),$O152*60*Cost!$D$16*Cost!$D$17/Cost!$D$5*Cost!$D$13,0)</f>
        <v>0</v>
      </c>
      <c r="Q152" s="17"/>
      <c r="U152" s="16" t="str">
        <f aca="false">IF($D152="","",IF(ISNA(MATCH($B152,Cost!$H$5:$H$11,0)),"CHECK GAS TYPE",IF(OR($C152&lt;10,$C152&gt;150),"CHECK PRESSURE: outside 10-150 psi table",IF(OR($D152&lt;1,$D152&gt;120),"CHECK dB: outside 1-120 table",IF(ISNA(MATCH($C152,'Flow Curves'!$A$5:$A$11,0)),"INTERPOLATED between curves","Table curve")))))</f>
        <v/>
      </c>
      <c r="W152" s="2" t="str">
        <f aca="false">IF(OR($D152="",$C152=""),"",MATCH(MAX(10,MIN(150,$C152)),'Flow Curves'!$A$5:$A$11,1))</f>
        <v/>
      </c>
      <c r="X152" s="2" t="str">
        <f aca="false">IF($W152="","",MIN($W152+1,7))</f>
        <v/>
      </c>
      <c r="Y152" s="2" t="str">
        <f aca="false">IF($W152="","",INDEX('Flow Curves'!$B$5:$B$11,$W152)*POWER($D152,INDEX('Flow Curves'!$C$5:$C$11,$W152)))</f>
        <v/>
      </c>
      <c r="Z152" s="2" t="str">
        <f aca="false">IF($W152="","",INDEX('Flow Curves'!$B$5:$B$11,$X152)*POWER($D152,INDEX('Flow Curves'!$C$5:$C$11,$X152)))</f>
        <v/>
      </c>
    </row>
    <row r="153" customFormat="false" ht="15" hidden="false" customHeight="false" outlineLevel="0" collapsed="false">
      <c r="A153" s="16" t="n">
        <v>146</v>
      </c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8" t="n">
        <f aca="false">IF($O153=0,0,$O153*60*Cost!$D$16*Cost!$D$17*IFERROR(INDEX(Cost!$I$5:$I$11,MATCH($B153,Cost!$H$5:$H$11,0)),0)/Cost!$D$5)</f>
        <v>0</v>
      </c>
      <c r="O153" s="19" t="n">
        <f aca="false">IF($W153="",0,IF(INDEX('Flow Curves'!$A$5:$A$11,$X153)=INDEX('Flow Curves'!$A$5:$A$11,$W153),$Y153,$Y153+($Z153-$Y153)*(MAX(10,MIN(150,$C153))-INDEX('Flow Curves'!$A$5:$A$11,$W153))/(INDEX('Flow Curves'!$A$5:$A$11,$X153)-INDEX('Flow Curves'!$A$5:$A$11,$W153))))</f>
        <v>0</v>
      </c>
      <c r="P153" s="20" t="n">
        <f aca="false">IF(OR($B153="Air",$B153="Open Blow"),$O153*60*Cost!$D$16*Cost!$D$17/Cost!$D$5*Cost!$D$13,0)</f>
        <v>0</v>
      </c>
      <c r="Q153" s="17"/>
      <c r="U153" s="16" t="str">
        <f aca="false">IF($D153="","",IF(ISNA(MATCH($B153,Cost!$H$5:$H$11,0)),"CHECK GAS TYPE",IF(OR($C153&lt;10,$C153&gt;150),"CHECK PRESSURE: outside 10-150 psi table",IF(OR($D153&lt;1,$D153&gt;120),"CHECK dB: outside 1-120 table",IF(ISNA(MATCH($C153,'Flow Curves'!$A$5:$A$11,0)),"INTERPOLATED between curves","Table curve")))))</f>
        <v/>
      </c>
      <c r="W153" s="2" t="str">
        <f aca="false">IF(OR($D153="",$C153=""),"",MATCH(MAX(10,MIN(150,$C153)),'Flow Curves'!$A$5:$A$11,1))</f>
        <v/>
      </c>
      <c r="X153" s="2" t="str">
        <f aca="false">IF($W153="","",MIN($W153+1,7))</f>
        <v/>
      </c>
      <c r="Y153" s="2" t="str">
        <f aca="false">IF($W153="","",INDEX('Flow Curves'!$B$5:$B$11,$W153)*POWER($D153,INDEX('Flow Curves'!$C$5:$C$11,$W153)))</f>
        <v/>
      </c>
      <c r="Z153" s="2" t="str">
        <f aca="false">IF($W153="","",INDEX('Flow Curves'!$B$5:$B$11,$X153)*POWER($D153,INDEX('Flow Curves'!$C$5:$C$11,$X153)))</f>
        <v/>
      </c>
    </row>
    <row r="154" customFormat="false" ht="15" hidden="false" customHeight="false" outlineLevel="0" collapsed="false">
      <c r="A154" s="16" t="n">
        <v>147</v>
      </c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8" t="n">
        <f aca="false">IF($O154=0,0,$O154*60*Cost!$D$16*Cost!$D$17*IFERROR(INDEX(Cost!$I$5:$I$11,MATCH($B154,Cost!$H$5:$H$11,0)),0)/Cost!$D$5)</f>
        <v>0</v>
      </c>
      <c r="O154" s="19" t="n">
        <f aca="false">IF($W154="",0,IF(INDEX('Flow Curves'!$A$5:$A$11,$X154)=INDEX('Flow Curves'!$A$5:$A$11,$W154),$Y154,$Y154+($Z154-$Y154)*(MAX(10,MIN(150,$C154))-INDEX('Flow Curves'!$A$5:$A$11,$W154))/(INDEX('Flow Curves'!$A$5:$A$11,$X154)-INDEX('Flow Curves'!$A$5:$A$11,$W154))))</f>
        <v>0</v>
      </c>
      <c r="P154" s="20" t="n">
        <f aca="false">IF(OR($B154="Air",$B154="Open Blow"),$O154*60*Cost!$D$16*Cost!$D$17/Cost!$D$5*Cost!$D$13,0)</f>
        <v>0</v>
      </c>
      <c r="Q154" s="17"/>
      <c r="U154" s="16" t="str">
        <f aca="false">IF($D154="","",IF(ISNA(MATCH($B154,Cost!$H$5:$H$11,0)),"CHECK GAS TYPE",IF(OR($C154&lt;10,$C154&gt;150),"CHECK PRESSURE: outside 10-150 psi table",IF(OR($D154&lt;1,$D154&gt;120),"CHECK dB: outside 1-120 table",IF(ISNA(MATCH($C154,'Flow Curves'!$A$5:$A$11,0)),"INTERPOLATED between curves","Table curve")))))</f>
        <v/>
      </c>
      <c r="W154" s="2" t="str">
        <f aca="false">IF(OR($D154="",$C154=""),"",MATCH(MAX(10,MIN(150,$C154)),'Flow Curves'!$A$5:$A$11,1))</f>
        <v/>
      </c>
      <c r="X154" s="2" t="str">
        <f aca="false">IF($W154="","",MIN($W154+1,7))</f>
        <v/>
      </c>
      <c r="Y154" s="2" t="str">
        <f aca="false">IF($W154="","",INDEX('Flow Curves'!$B$5:$B$11,$W154)*POWER($D154,INDEX('Flow Curves'!$C$5:$C$11,$W154)))</f>
        <v/>
      </c>
      <c r="Z154" s="2" t="str">
        <f aca="false">IF($W154="","",INDEX('Flow Curves'!$B$5:$B$11,$X154)*POWER($D154,INDEX('Flow Curves'!$C$5:$C$11,$X154)))</f>
        <v/>
      </c>
    </row>
    <row r="155" customFormat="false" ht="15" hidden="false" customHeight="false" outlineLevel="0" collapsed="false">
      <c r="A155" s="16" t="n">
        <v>148</v>
      </c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8" t="n">
        <f aca="false">IF($O155=0,0,$O155*60*Cost!$D$16*Cost!$D$17*IFERROR(INDEX(Cost!$I$5:$I$11,MATCH($B155,Cost!$H$5:$H$11,0)),0)/Cost!$D$5)</f>
        <v>0</v>
      </c>
      <c r="O155" s="19" t="n">
        <f aca="false">IF($W155="",0,IF(INDEX('Flow Curves'!$A$5:$A$11,$X155)=INDEX('Flow Curves'!$A$5:$A$11,$W155),$Y155,$Y155+($Z155-$Y155)*(MAX(10,MIN(150,$C155))-INDEX('Flow Curves'!$A$5:$A$11,$W155))/(INDEX('Flow Curves'!$A$5:$A$11,$X155)-INDEX('Flow Curves'!$A$5:$A$11,$W155))))</f>
        <v>0</v>
      </c>
      <c r="P155" s="20" t="n">
        <f aca="false">IF(OR($B155="Air",$B155="Open Blow"),$O155*60*Cost!$D$16*Cost!$D$17/Cost!$D$5*Cost!$D$13,0)</f>
        <v>0</v>
      </c>
      <c r="Q155" s="17"/>
      <c r="U155" s="16" t="str">
        <f aca="false">IF($D155="","",IF(ISNA(MATCH($B155,Cost!$H$5:$H$11,0)),"CHECK GAS TYPE",IF(OR($C155&lt;10,$C155&gt;150),"CHECK PRESSURE: outside 10-150 psi table",IF(OR($D155&lt;1,$D155&gt;120),"CHECK dB: outside 1-120 table",IF(ISNA(MATCH($C155,'Flow Curves'!$A$5:$A$11,0)),"INTERPOLATED between curves","Table curve")))))</f>
        <v/>
      </c>
      <c r="W155" s="2" t="str">
        <f aca="false">IF(OR($D155="",$C155=""),"",MATCH(MAX(10,MIN(150,$C155)),'Flow Curves'!$A$5:$A$11,1))</f>
        <v/>
      </c>
      <c r="X155" s="2" t="str">
        <f aca="false">IF($W155="","",MIN($W155+1,7))</f>
        <v/>
      </c>
      <c r="Y155" s="2" t="str">
        <f aca="false">IF($W155="","",INDEX('Flow Curves'!$B$5:$B$11,$W155)*POWER($D155,INDEX('Flow Curves'!$C$5:$C$11,$W155)))</f>
        <v/>
      </c>
      <c r="Z155" s="2" t="str">
        <f aca="false">IF($W155="","",INDEX('Flow Curves'!$B$5:$B$11,$X155)*POWER($D155,INDEX('Flow Curves'!$C$5:$C$11,$X155)))</f>
        <v/>
      </c>
    </row>
    <row r="156" customFormat="false" ht="15" hidden="false" customHeight="false" outlineLevel="0" collapsed="false">
      <c r="A156" s="16" t="n">
        <v>149</v>
      </c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8" t="n">
        <f aca="false">IF($O156=0,0,$O156*60*Cost!$D$16*Cost!$D$17*IFERROR(INDEX(Cost!$I$5:$I$11,MATCH($B156,Cost!$H$5:$H$11,0)),0)/Cost!$D$5)</f>
        <v>0</v>
      </c>
      <c r="O156" s="19" t="n">
        <f aca="false">IF($W156="",0,IF(INDEX('Flow Curves'!$A$5:$A$11,$X156)=INDEX('Flow Curves'!$A$5:$A$11,$W156),$Y156,$Y156+($Z156-$Y156)*(MAX(10,MIN(150,$C156))-INDEX('Flow Curves'!$A$5:$A$11,$W156))/(INDEX('Flow Curves'!$A$5:$A$11,$X156)-INDEX('Flow Curves'!$A$5:$A$11,$W156))))</f>
        <v>0</v>
      </c>
      <c r="P156" s="20" t="n">
        <f aca="false">IF(OR($B156="Air",$B156="Open Blow"),$O156*60*Cost!$D$16*Cost!$D$17/Cost!$D$5*Cost!$D$13,0)</f>
        <v>0</v>
      </c>
      <c r="Q156" s="17"/>
      <c r="U156" s="16" t="str">
        <f aca="false">IF($D156="","",IF(ISNA(MATCH($B156,Cost!$H$5:$H$11,0)),"CHECK GAS TYPE",IF(OR($C156&lt;10,$C156&gt;150),"CHECK PRESSURE: outside 10-150 psi table",IF(OR($D156&lt;1,$D156&gt;120),"CHECK dB: outside 1-120 table",IF(ISNA(MATCH($C156,'Flow Curves'!$A$5:$A$11,0)),"INTERPOLATED between curves","Table curve")))))</f>
        <v/>
      </c>
      <c r="W156" s="2" t="str">
        <f aca="false">IF(OR($D156="",$C156=""),"",MATCH(MAX(10,MIN(150,$C156)),'Flow Curves'!$A$5:$A$11,1))</f>
        <v/>
      </c>
      <c r="X156" s="2" t="str">
        <f aca="false">IF($W156="","",MIN($W156+1,7))</f>
        <v/>
      </c>
      <c r="Y156" s="2" t="str">
        <f aca="false">IF($W156="","",INDEX('Flow Curves'!$B$5:$B$11,$W156)*POWER($D156,INDEX('Flow Curves'!$C$5:$C$11,$W156)))</f>
        <v/>
      </c>
      <c r="Z156" s="2" t="str">
        <f aca="false">IF($W156="","",INDEX('Flow Curves'!$B$5:$B$11,$X156)*POWER($D156,INDEX('Flow Curves'!$C$5:$C$11,$X156)))</f>
        <v/>
      </c>
    </row>
    <row r="157" customFormat="false" ht="15" hidden="false" customHeight="false" outlineLevel="0" collapsed="false">
      <c r="A157" s="16" t="n">
        <v>150</v>
      </c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8" t="n">
        <f aca="false">IF($O157=0,0,$O157*60*Cost!$D$16*Cost!$D$17*IFERROR(INDEX(Cost!$I$5:$I$11,MATCH($B157,Cost!$H$5:$H$11,0)),0)/Cost!$D$5)</f>
        <v>0</v>
      </c>
      <c r="O157" s="19" t="n">
        <f aca="false">IF($W157="",0,IF(INDEX('Flow Curves'!$A$5:$A$11,$X157)=INDEX('Flow Curves'!$A$5:$A$11,$W157),$Y157,$Y157+($Z157-$Y157)*(MAX(10,MIN(150,$C157))-INDEX('Flow Curves'!$A$5:$A$11,$W157))/(INDEX('Flow Curves'!$A$5:$A$11,$X157)-INDEX('Flow Curves'!$A$5:$A$11,$W157))))</f>
        <v>0</v>
      </c>
      <c r="P157" s="20" t="n">
        <f aca="false">IF(OR($B157="Air",$B157="Open Blow"),$O157*60*Cost!$D$16*Cost!$D$17/Cost!$D$5*Cost!$D$13,0)</f>
        <v>0</v>
      </c>
      <c r="Q157" s="17"/>
      <c r="U157" s="16" t="str">
        <f aca="false">IF($D157="","",IF(ISNA(MATCH($B157,Cost!$H$5:$H$11,0)),"CHECK GAS TYPE",IF(OR($C157&lt;10,$C157&gt;150),"CHECK PRESSURE: outside 10-150 psi table",IF(OR($D157&lt;1,$D157&gt;120),"CHECK dB: outside 1-120 table",IF(ISNA(MATCH($C157,'Flow Curves'!$A$5:$A$11,0)),"INTERPOLATED between curves","Table curve")))))</f>
        <v/>
      </c>
      <c r="W157" s="2" t="str">
        <f aca="false">IF(OR($D157="",$C157=""),"",MATCH(MAX(10,MIN(150,$C157)),'Flow Curves'!$A$5:$A$11,1))</f>
        <v/>
      </c>
      <c r="X157" s="2" t="str">
        <f aca="false">IF($W157="","",MIN($W157+1,7))</f>
        <v/>
      </c>
      <c r="Y157" s="2" t="str">
        <f aca="false">IF($W157="","",INDEX('Flow Curves'!$B$5:$B$11,$W157)*POWER($D157,INDEX('Flow Curves'!$C$5:$C$11,$W157)))</f>
        <v/>
      </c>
      <c r="Z157" s="2" t="str">
        <f aca="false">IF($W157="","",INDEX('Flow Curves'!$B$5:$B$11,$X157)*POWER($D157,INDEX('Flow Curves'!$C$5:$C$11,$X157)))</f>
        <v/>
      </c>
    </row>
    <row r="158" customFormat="false" ht="15" hidden="false" customHeight="false" outlineLevel="0" collapsed="false">
      <c r="A158" s="16" t="n">
        <v>151</v>
      </c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8" t="n">
        <f aca="false">IF($O158=0,0,$O158*60*Cost!$D$16*Cost!$D$17*IFERROR(INDEX(Cost!$I$5:$I$11,MATCH($B158,Cost!$H$5:$H$11,0)),0)/Cost!$D$5)</f>
        <v>0</v>
      </c>
      <c r="O158" s="19" t="n">
        <f aca="false">IF($W158="",0,IF(INDEX('Flow Curves'!$A$5:$A$11,$X158)=INDEX('Flow Curves'!$A$5:$A$11,$W158),$Y158,$Y158+($Z158-$Y158)*(MAX(10,MIN(150,$C158))-INDEX('Flow Curves'!$A$5:$A$11,$W158))/(INDEX('Flow Curves'!$A$5:$A$11,$X158)-INDEX('Flow Curves'!$A$5:$A$11,$W158))))</f>
        <v>0</v>
      </c>
      <c r="P158" s="20" t="n">
        <f aca="false">IF(OR($B158="Air",$B158="Open Blow"),$O158*60*Cost!$D$16*Cost!$D$17/Cost!$D$5*Cost!$D$13,0)</f>
        <v>0</v>
      </c>
      <c r="Q158" s="17"/>
      <c r="U158" s="16" t="str">
        <f aca="false">IF($D158="","",IF(ISNA(MATCH($B158,Cost!$H$5:$H$11,0)),"CHECK GAS TYPE",IF(OR($C158&lt;10,$C158&gt;150),"CHECK PRESSURE: outside 10-150 psi table",IF(OR($D158&lt;1,$D158&gt;120),"CHECK dB: outside 1-120 table",IF(ISNA(MATCH($C158,'Flow Curves'!$A$5:$A$11,0)),"INTERPOLATED between curves","Table curve")))))</f>
        <v/>
      </c>
      <c r="W158" s="2" t="str">
        <f aca="false">IF(OR($D158="",$C158=""),"",MATCH(MAX(10,MIN(150,$C158)),'Flow Curves'!$A$5:$A$11,1))</f>
        <v/>
      </c>
      <c r="X158" s="2" t="str">
        <f aca="false">IF($W158="","",MIN($W158+1,7))</f>
        <v/>
      </c>
      <c r="Y158" s="2" t="str">
        <f aca="false">IF($W158="","",INDEX('Flow Curves'!$B$5:$B$11,$W158)*POWER($D158,INDEX('Flow Curves'!$C$5:$C$11,$W158)))</f>
        <v/>
      </c>
      <c r="Z158" s="2" t="str">
        <f aca="false">IF($W158="","",INDEX('Flow Curves'!$B$5:$B$11,$X158)*POWER($D158,INDEX('Flow Curves'!$C$5:$C$11,$X158)))</f>
        <v/>
      </c>
    </row>
    <row r="159" customFormat="false" ht="15" hidden="false" customHeight="false" outlineLevel="0" collapsed="false">
      <c r="A159" s="16" t="n">
        <v>152</v>
      </c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8" t="n">
        <f aca="false">IF($O159=0,0,$O159*60*Cost!$D$16*Cost!$D$17*IFERROR(INDEX(Cost!$I$5:$I$11,MATCH($B159,Cost!$H$5:$H$11,0)),0)/Cost!$D$5)</f>
        <v>0</v>
      </c>
      <c r="O159" s="19" t="n">
        <f aca="false">IF($W159="",0,IF(INDEX('Flow Curves'!$A$5:$A$11,$X159)=INDEX('Flow Curves'!$A$5:$A$11,$W159),$Y159,$Y159+($Z159-$Y159)*(MAX(10,MIN(150,$C159))-INDEX('Flow Curves'!$A$5:$A$11,$W159))/(INDEX('Flow Curves'!$A$5:$A$11,$X159)-INDEX('Flow Curves'!$A$5:$A$11,$W159))))</f>
        <v>0</v>
      </c>
      <c r="P159" s="20" t="n">
        <f aca="false">IF(OR($B159="Air",$B159="Open Blow"),$O159*60*Cost!$D$16*Cost!$D$17/Cost!$D$5*Cost!$D$13,0)</f>
        <v>0</v>
      </c>
      <c r="Q159" s="17"/>
      <c r="U159" s="16" t="str">
        <f aca="false">IF($D159="","",IF(ISNA(MATCH($B159,Cost!$H$5:$H$11,0)),"CHECK GAS TYPE",IF(OR($C159&lt;10,$C159&gt;150),"CHECK PRESSURE: outside 10-150 psi table",IF(OR($D159&lt;1,$D159&gt;120),"CHECK dB: outside 1-120 table",IF(ISNA(MATCH($C159,'Flow Curves'!$A$5:$A$11,0)),"INTERPOLATED between curves","Table curve")))))</f>
        <v/>
      </c>
      <c r="W159" s="2" t="str">
        <f aca="false">IF(OR($D159="",$C159=""),"",MATCH(MAX(10,MIN(150,$C159)),'Flow Curves'!$A$5:$A$11,1))</f>
        <v/>
      </c>
      <c r="X159" s="2" t="str">
        <f aca="false">IF($W159="","",MIN($W159+1,7))</f>
        <v/>
      </c>
      <c r="Y159" s="2" t="str">
        <f aca="false">IF($W159="","",INDEX('Flow Curves'!$B$5:$B$11,$W159)*POWER($D159,INDEX('Flow Curves'!$C$5:$C$11,$W159)))</f>
        <v/>
      </c>
      <c r="Z159" s="2" t="str">
        <f aca="false">IF($W159="","",INDEX('Flow Curves'!$B$5:$B$11,$X159)*POWER($D159,INDEX('Flow Curves'!$C$5:$C$11,$X159)))</f>
        <v/>
      </c>
    </row>
    <row r="160" customFormat="false" ht="15" hidden="false" customHeight="false" outlineLevel="0" collapsed="false">
      <c r="A160" s="16" t="n">
        <v>153</v>
      </c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8" t="n">
        <f aca="false">IF($O160=0,0,$O160*60*Cost!$D$16*Cost!$D$17*IFERROR(INDEX(Cost!$I$5:$I$11,MATCH($B160,Cost!$H$5:$H$11,0)),0)/Cost!$D$5)</f>
        <v>0</v>
      </c>
      <c r="O160" s="19" t="n">
        <f aca="false">IF($W160="",0,IF(INDEX('Flow Curves'!$A$5:$A$11,$X160)=INDEX('Flow Curves'!$A$5:$A$11,$W160),$Y160,$Y160+($Z160-$Y160)*(MAX(10,MIN(150,$C160))-INDEX('Flow Curves'!$A$5:$A$11,$W160))/(INDEX('Flow Curves'!$A$5:$A$11,$X160)-INDEX('Flow Curves'!$A$5:$A$11,$W160))))</f>
        <v>0</v>
      </c>
      <c r="P160" s="20" t="n">
        <f aca="false">IF(OR($B160="Air",$B160="Open Blow"),$O160*60*Cost!$D$16*Cost!$D$17/Cost!$D$5*Cost!$D$13,0)</f>
        <v>0</v>
      </c>
      <c r="Q160" s="17"/>
      <c r="U160" s="16" t="str">
        <f aca="false">IF($D160="","",IF(ISNA(MATCH($B160,Cost!$H$5:$H$11,0)),"CHECK GAS TYPE",IF(OR($C160&lt;10,$C160&gt;150),"CHECK PRESSURE: outside 10-150 psi table",IF(OR($D160&lt;1,$D160&gt;120),"CHECK dB: outside 1-120 table",IF(ISNA(MATCH($C160,'Flow Curves'!$A$5:$A$11,0)),"INTERPOLATED between curves","Table curve")))))</f>
        <v/>
      </c>
      <c r="W160" s="2" t="str">
        <f aca="false">IF(OR($D160="",$C160=""),"",MATCH(MAX(10,MIN(150,$C160)),'Flow Curves'!$A$5:$A$11,1))</f>
        <v/>
      </c>
      <c r="X160" s="2" t="str">
        <f aca="false">IF($W160="","",MIN($W160+1,7))</f>
        <v/>
      </c>
      <c r="Y160" s="2" t="str">
        <f aca="false">IF($W160="","",INDEX('Flow Curves'!$B$5:$B$11,$W160)*POWER($D160,INDEX('Flow Curves'!$C$5:$C$11,$W160)))</f>
        <v/>
      </c>
      <c r="Z160" s="2" t="str">
        <f aca="false">IF($W160="","",INDEX('Flow Curves'!$B$5:$B$11,$X160)*POWER($D160,INDEX('Flow Curves'!$C$5:$C$11,$X160)))</f>
        <v/>
      </c>
    </row>
    <row r="161" customFormat="false" ht="15" hidden="false" customHeight="false" outlineLevel="0" collapsed="false">
      <c r="A161" s="16" t="n">
        <v>154</v>
      </c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8" t="n">
        <f aca="false">IF($O161=0,0,$O161*60*Cost!$D$16*Cost!$D$17*IFERROR(INDEX(Cost!$I$5:$I$11,MATCH($B161,Cost!$H$5:$H$11,0)),0)/Cost!$D$5)</f>
        <v>0</v>
      </c>
      <c r="O161" s="19" t="n">
        <f aca="false">IF($W161="",0,IF(INDEX('Flow Curves'!$A$5:$A$11,$X161)=INDEX('Flow Curves'!$A$5:$A$11,$W161),$Y161,$Y161+($Z161-$Y161)*(MAX(10,MIN(150,$C161))-INDEX('Flow Curves'!$A$5:$A$11,$W161))/(INDEX('Flow Curves'!$A$5:$A$11,$X161)-INDEX('Flow Curves'!$A$5:$A$11,$W161))))</f>
        <v>0</v>
      </c>
      <c r="P161" s="20" t="n">
        <f aca="false">IF(OR($B161="Air",$B161="Open Blow"),$O161*60*Cost!$D$16*Cost!$D$17/Cost!$D$5*Cost!$D$13,0)</f>
        <v>0</v>
      </c>
      <c r="Q161" s="17"/>
      <c r="U161" s="16" t="str">
        <f aca="false">IF($D161="","",IF(ISNA(MATCH($B161,Cost!$H$5:$H$11,0)),"CHECK GAS TYPE",IF(OR($C161&lt;10,$C161&gt;150),"CHECK PRESSURE: outside 10-150 psi table",IF(OR($D161&lt;1,$D161&gt;120),"CHECK dB: outside 1-120 table",IF(ISNA(MATCH($C161,'Flow Curves'!$A$5:$A$11,0)),"INTERPOLATED between curves","Table curve")))))</f>
        <v/>
      </c>
      <c r="W161" s="2" t="str">
        <f aca="false">IF(OR($D161="",$C161=""),"",MATCH(MAX(10,MIN(150,$C161)),'Flow Curves'!$A$5:$A$11,1))</f>
        <v/>
      </c>
      <c r="X161" s="2" t="str">
        <f aca="false">IF($W161="","",MIN($W161+1,7))</f>
        <v/>
      </c>
      <c r="Y161" s="2" t="str">
        <f aca="false">IF($W161="","",INDEX('Flow Curves'!$B$5:$B$11,$W161)*POWER($D161,INDEX('Flow Curves'!$C$5:$C$11,$W161)))</f>
        <v/>
      </c>
      <c r="Z161" s="2" t="str">
        <f aca="false">IF($W161="","",INDEX('Flow Curves'!$B$5:$B$11,$X161)*POWER($D161,INDEX('Flow Curves'!$C$5:$C$11,$X161)))</f>
        <v/>
      </c>
    </row>
    <row r="162" customFormat="false" ht="15" hidden="false" customHeight="false" outlineLevel="0" collapsed="false">
      <c r="A162" s="16" t="n">
        <v>155</v>
      </c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8" t="n">
        <f aca="false">IF($O162=0,0,$O162*60*Cost!$D$16*Cost!$D$17*IFERROR(INDEX(Cost!$I$5:$I$11,MATCH($B162,Cost!$H$5:$H$11,0)),0)/Cost!$D$5)</f>
        <v>0</v>
      </c>
      <c r="O162" s="19" t="n">
        <f aca="false">IF($W162="",0,IF(INDEX('Flow Curves'!$A$5:$A$11,$X162)=INDEX('Flow Curves'!$A$5:$A$11,$W162),$Y162,$Y162+($Z162-$Y162)*(MAX(10,MIN(150,$C162))-INDEX('Flow Curves'!$A$5:$A$11,$W162))/(INDEX('Flow Curves'!$A$5:$A$11,$X162)-INDEX('Flow Curves'!$A$5:$A$11,$W162))))</f>
        <v>0</v>
      </c>
      <c r="P162" s="20" t="n">
        <f aca="false">IF(OR($B162="Air",$B162="Open Blow"),$O162*60*Cost!$D$16*Cost!$D$17/Cost!$D$5*Cost!$D$13,0)</f>
        <v>0</v>
      </c>
      <c r="Q162" s="17"/>
      <c r="U162" s="16" t="str">
        <f aca="false">IF($D162="","",IF(ISNA(MATCH($B162,Cost!$H$5:$H$11,0)),"CHECK GAS TYPE",IF(OR($C162&lt;10,$C162&gt;150),"CHECK PRESSURE: outside 10-150 psi table",IF(OR($D162&lt;1,$D162&gt;120),"CHECK dB: outside 1-120 table",IF(ISNA(MATCH($C162,'Flow Curves'!$A$5:$A$11,0)),"INTERPOLATED between curves","Table curve")))))</f>
        <v/>
      </c>
      <c r="W162" s="2" t="str">
        <f aca="false">IF(OR($D162="",$C162=""),"",MATCH(MAX(10,MIN(150,$C162)),'Flow Curves'!$A$5:$A$11,1))</f>
        <v/>
      </c>
      <c r="X162" s="2" t="str">
        <f aca="false">IF($W162="","",MIN($W162+1,7))</f>
        <v/>
      </c>
      <c r="Y162" s="2" t="str">
        <f aca="false">IF($W162="","",INDEX('Flow Curves'!$B$5:$B$11,$W162)*POWER($D162,INDEX('Flow Curves'!$C$5:$C$11,$W162)))</f>
        <v/>
      </c>
      <c r="Z162" s="2" t="str">
        <f aca="false">IF($W162="","",INDEX('Flow Curves'!$B$5:$B$11,$X162)*POWER($D162,INDEX('Flow Curves'!$C$5:$C$11,$X162)))</f>
        <v/>
      </c>
    </row>
    <row r="163" customFormat="false" ht="15" hidden="false" customHeight="false" outlineLevel="0" collapsed="false">
      <c r="A163" s="16" t="n">
        <v>156</v>
      </c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8" t="n">
        <f aca="false">IF($O163=0,0,$O163*60*Cost!$D$16*Cost!$D$17*IFERROR(INDEX(Cost!$I$5:$I$11,MATCH($B163,Cost!$H$5:$H$11,0)),0)/Cost!$D$5)</f>
        <v>0</v>
      </c>
      <c r="O163" s="19" t="n">
        <f aca="false">IF($W163="",0,IF(INDEX('Flow Curves'!$A$5:$A$11,$X163)=INDEX('Flow Curves'!$A$5:$A$11,$W163),$Y163,$Y163+($Z163-$Y163)*(MAX(10,MIN(150,$C163))-INDEX('Flow Curves'!$A$5:$A$11,$W163))/(INDEX('Flow Curves'!$A$5:$A$11,$X163)-INDEX('Flow Curves'!$A$5:$A$11,$W163))))</f>
        <v>0</v>
      </c>
      <c r="P163" s="20" t="n">
        <f aca="false">IF(OR($B163="Air",$B163="Open Blow"),$O163*60*Cost!$D$16*Cost!$D$17/Cost!$D$5*Cost!$D$13,0)</f>
        <v>0</v>
      </c>
      <c r="Q163" s="17"/>
      <c r="U163" s="16" t="str">
        <f aca="false">IF($D163="","",IF(ISNA(MATCH($B163,Cost!$H$5:$H$11,0)),"CHECK GAS TYPE",IF(OR($C163&lt;10,$C163&gt;150),"CHECK PRESSURE: outside 10-150 psi table",IF(OR($D163&lt;1,$D163&gt;120),"CHECK dB: outside 1-120 table",IF(ISNA(MATCH($C163,'Flow Curves'!$A$5:$A$11,0)),"INTERPOLATED between curves","Table curve")))))</f>
        <v/>
      </c>
      <c r="W163" s="2" t="str">
        <f aca="false">IF(OR($D163="",$C163=""),"",MATCH(MAX(10,MIN(150,$C163)),'Flow Curves'!$A$5:$A$11,1))</f>
        <v/>
      </c>
      <c r="X163" s="2" t="str">
        <f aca="false">IF($W163="","",MIN($W163+1,7))</f>
        <v/>
      </c>
      <c r="Y163" s="2" t="str">
        <f aca="false">IF($W163="","",INDEX('Flow Curves'!$B$5:$B$11,$W163)*POWER($D163,INDEX('Flow Curves'!$C$5:$C$11,$W163)))</f>
        <v/>
      </c>
      <c r="Z163" s="2" t="str">
        <f aca="false">IF($W163="","",INDEX('Flow Curves'!$B$5:$B$11,$X163)*POWER($D163,INDEX('Flow Curves'!$C$5:$C$11,$X163)))</f>
        <v/>
      </c>
    </row>
    <row r="164" customFormat="false" ht="15" hidden="false" customHeight="false" outlineLevel="0" collapsed="false">
      <c r="A164" s="16" t="n">
        <v>157</v>
      </c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8" t="n">
        <f aca="false">IF($O164=0,0,$O164*60*Cost!$D$16*Cost!$D$17*IFERROR(INDEX(Cost!$I$5:$I$11,MATCH($B164,Cost!$H$5:$H$11,0)),0)/Cost!$D$5)</f>
        <v>0</v>
      </c>
      <c r="O164" s="19" t="n">
        <f aca="false">IF($W164="",0,IF(INDEX('Flow Curves'!$A$5:$A$11,$X164)=INDEX('Flow Curves'!$A$5:$A$11,$W164),$Y164,$Y164+($Z164-$Y164)*(MAX(10,MIN(150,$C164))-INDEX('Flow Curves'!$A$5:$A$11,$W164))/(INDEX('Flow Curves'!$A$5:$A$11,$X164)-INDEX('Flow Curves'!$A$5:$A$11,$W164))))</f>
        <v>0</v>
      </c>
      <c r="P164" s="20" t="n">
        <f aca="false">IF(OR($B164="Air",$B164="Open Blow"),$O164*60*Cost!$D$16*Cost!$D$17/Cost!$D$5*Cost!$D$13,0)</f>
        <v>0</v>
      </c>
      <c r="Q164" s="17"/>
      <c r="U164" s="16" t="str">
        <f aca="false">IF($D164="","",IF(ISNA(MATCH($B164,Cost!$H$5:$H$11,0)),"CHECK GAS TYPE",IF(OR($C164&lt;10,$C164&gt;150),"CHECK PRESSURE: outside 10-150 psi table",IF(OR($D164&lt;1,$D164&gt;120),"CHECK dB: outside 1-120 table",IF(ISNA(MATCH($C164,'Flow Curves'!$A$5:$A$11,0)),"INTERPOLATED between curves","Table curve")))))</f>
        <v/>
      </c>
      <c r="W164" s="2" t="str">
        <f aca="false">IF(OR($D164="",$C164=""),"",MATCH(MAX(10,MIN(150,$C164)),'Flow Curves'!$A$5:$A$11,1))</f>
        <v/>
      </c>
      <c r="X164" s="2" t="str">
        <f aca="false">IF($W164="","",MIN($W164+1,7))</f>
        <v/>
      </c>
      <c r="Y164" s="2" t="str">
        <f aca="false">IF($W164="","",INDEX('Flow Curves'!$B$5:$B$11,$W164)*POWER($D164,INDEX('Flow Curves'!$C$5:$C$11,$W164)))</f>
        <v/>
      </c>
      <c r="Z164" s="2" t="str">
        <f aca="false">IF($W164="","",INDEX('Flow Curves'!$B$5:$B$11,$X164)*POWER($D164,INDEX('Flow Curves'!$C$5:$C$11,$X164)))</f>
        <v/>
      </c>
    </row>
    <row r="165" customFormat="false" ht="15" hidden="false" customHeight="false" outlineLevel="0" collapsed="false">
      <c r="A165" s="16" t="n">
        <v>158</v>
      </c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8" t="n">
        <f aca="false">IF($O165=0,0,$O165*60*Cost!$D$16*Cost!$D$17*IFERROR(INDEX(Cost!$I$5:$I$11,MATCH($B165,Cost!$H$5:$H$11,0)),0)/Cost!$D$5)</f>
        <v>0</v>
      </c>
      <c r="O165" s="19" t="n">
        <f aca="false">IF($W165="",0,IF(INDEX('Flow Curves'!$A$5:$A$11,$X165)=INDEX('Flow Curves'!$A$5:$A$11,$W165),$Y165,$Y165+($Z165-$Y165)*(MAX(10,MIN(150,$C165))-INDEX('Flow Curves'!$A$5:$A$11,$W165))/(INDEX('Flow Curves'!$A$5:$A$11,$X165)-INDEX('Flow Curves'!$A$5:$A$11,$W165))))</f>
        <v>0</v>
      </c>
      <c r="P165" s="20" t="n">
        <f aca="false">IF(OR($B165="Air",$B165="Open Blow"),$O165*60*Cost!$D$16*Cost!$D$17/Cost!$D$5*Cost!$D$13,0)</f>
        <v>0</v>
      </c>
      <c r="Q165" s="17"/>
      <c r="U165" s="16" t="str">
        <f aca="false">IF($D165="","",IF(ISNA(MATCH($B165,Cost!$H$5:$H$11,0)),"CHECK GAS TYPE",IF(OR($C165&lt;10,$C165&gt;150),"CHECK PRESSURE: outside 10-150 psi table",IF(OR($D165&lt;1,$D165&gt;120),"CHECK dB: outside 1-120 table",IF(ISNA(MATCH($C165,'Flow Curves'!$A$5:$A$11,0)),"INTERPOLATED between curves","Table curve")))))</f>
        <v/>
      </c>
      <c r="W165" s="2" t="str">
        <f aca="false">IF(OR($D165="",$C165=""),"",MATCH(MAX(10,MIN(150,$C165)),'Flow Curves'!$A$5:$A$11,1))</f>
        <v/>
      </c>
      <c r="X165" s="2" t="str">
        <f aca="false">IF($W165="","",MIN($W165+1,7))</f>
        <v/>
      </c>
      <c r="Y165" s="2" t="str">
        <f aca="false">IF($W165="","",INDEX('Flow Curves'!$B$5:$B$11,$W165)*POWER($D165,INDEX('Flow Curves'!$C$5:$C$11,$W165)))</f>
        <v/>
      </c>
      <c r="Z165" s="2" t="str">
        <f aca="false">IF($W165="","",INDEX('Flow Curves'!$B$5:$B$11,$X165)*POWER($D165,INDEX('Flow Curves'!$C$5:$C$11,$X165)))</f>
        <v/>
      </c>
    </row>
    <row r="166" customFormat="false" ht="15" hidden="false" customHeight="false" outlineLevel="0" collapsed="false">
      <c r="A166" s="16" t="n">
        <v>159</v>
      </c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8" t="n">
        <f aca="false">IF($O166=0,0,$O166*60*Cost!$D$16*Cost!$D$17*IFERROR(INDEX(Cost!$I$5:$I$11,MATCH($B166,Cost!$H$5:$H$11,0)),0)/Cost!$D$5)</f>
        <v>0</v>
      </c>
      <c r="O166" s="19" t="n">
        <f aca="false">IF($W166="",0,IF(INDEX('Flow Curves'!$A$5:$A$11,$X166)=INDEX('Flow Curves'!$A$5:$A$11,$W166),$Y166,$Y166+($Z166-$Y166)*(MAX(10,MIN(150,$C166))-INDEX('Flow Curves'!$A$5:$A$11,$W166))/(INDEX('Flow Curves'!$A$5:$A$11,$X166)-INDEX('Flow Curves'!$A$5:$A$11,$W166))))</f>
        <v>0</v>
      </c>
      <c r="P166" s="20" t="n">
        <f aca="false">IF(OR($B166="Air",$B166="Open Blow"),$O166*60*Cost!$D$16*Cost!$D$17/Cost!$D$5*Cost!$D$13,0)</f>
        <v>0</v>
      </c>
      <c r="Q166" s="17"/>
      <c r="U166" s="16" t="str">
        <f aca="false">IF($D166="","",IF(ISNA(MATCH($B166,Cost!$H$5:$H$11,0)),"CHECK GAS TYPE",IF(OR($C166&lt;10,$C166&gt;150),"CHECK PRESSURE: outside 10-150 psi table",IF(OR($D166&lt;1,$D166&gt;120),"CHECK dB: outside 1-120 table",IF(ISNA(MATCH($C166,'Flow Curves'!$A$5:$A$11,0)),"INTERPOLATED between curves","Table curve")))))</f>
        <v/>
      </c>
      <c r="W166" s="2" t="str">
        <f aca="false">IF(OR($D166="",$C166=""),"",MATCH(MAX(10,MIN(150,$C166)),'Flow Curves'!$A$5:$A$11,1))</f>
        <v/>
      </c>
      <c r="X166" s="2" t="str">
        <f aca="false">IF($W166="","",MIN($W166+1,7))</f>
        <v/>
      </c>
      <c r="Y166" s="2" t="str">
        <f aca="false">IF($W166="","",INDEX('Flow Curves'!$B$5:$B$11,$W166)*POWER($D166,INDEX('Flow Curves'!$C$5:$C$11,$W166)))</f>
        <v/>
      </c>
      <c r="Z166" s="2" t="str">
        <f aca="false">IF($W166="","",INDEX('Flow Curves'!$B$5:$B$11,$X166)*POWER($D166,INDEX('Flow Curves'!$C$5:$C$11,$X166)))</f>
        <v/>
      </c>
    </row>
    <row r="167" customFormat="false" ht="15" hidden="false" customHeight="false" outlineLevel="0" collapsed="false">
      <c r="A167" s="16" t="n">
        <v>160</v>
      </c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8" t="n">
        <f aca="false">IF($O167=0,0,$O167*60*Cost!$D$16*Cost!$D$17*IFERROR(INDEX(Cost!$I$5:$I$11,MATCH($B167,Cost!$H$5:$H$11,0)),0)/Cost!$D$5)</f>
        <v>0</v>
      </c>
      <c r="O167" s="19" t="n">
        <f aca="false">IF($W167="",0,IF(INDEX('Flow Curves'!$A$5:$A$11,$X167)=INDEX('Flow Curves'!$A$5:$A$11,$W167),$Y167,$Y167+($Z167-$Y167)*(MAX(10,MIN(150,$C167))-INDEX('Flow Curves'!$A$5:$A$11,$W167))/(INDEX('Flow Curves'!$A$5:$A$11,$X167)-INDEX('Flow Curves'!$A$5:$A$11,$W167))))</f>
        <v>0</v>
      </c>
      <c r="P167" s="20" t="n">
        <f aca="false">IF(OR($B167="Air",$B167="Open Blow"),$O167*60*Cost!$D$16*Cost!$D$17/Cost!$D$5*Cost!$D$13,0)</f>
        <v>0</v>
      </c>
      <c r="Q167" s="17"/>
      <c r="U167" s="16" t="str">
        <f aca="false">IF($D167="","",IF(ISNA(MATCH($B167,Cost!$H$5:$H$11,0)),"CHECK GAS TYPE",IF(OR($C167&lt;10,$C167&gt;150),"CHECK PRESSURE: outside 10-150 psi table",IF(OR($D167&lt;1,$D167&gt;120),"CHECK dB: outside 1-120 table",IF(ISNA(MATCH($C167,'Flow Curves'!$A$5:$A$11,0)),"INTERPOLATED between curves","Table curve")))))</f>
        <v/>
      </c>
      <c r="W167" s="2" t="str">
        <f aca="false">IF(OR($D167="",$C167=""),"",MATCH(MAX(10,MIN(150,$C167)),'Flow Curves'!$A$5:$A$11,1))</f>
        <v/>
      </c>
      <c r="X167" s="2" t="str">
        <f aca="false">IF($W167="","",MIN($W167+1,7))</f>
        <v/>
      </c>
      <c r="Y167" s="2" t="str">
        <f aca="false">IF($W167="","",INDEX('Flow Curves'!$B$5:$B$11,$W167)*POWER($D167,INDEX('Flow Curves'!$C$5:$C$11,$W167)))</f>
        <v/>
      </c>
      <c r="Z167" s="2" t="str">
        <f aca="false">IF($W167="","",INDEX('Flow Curves'!$B$5:$B$11,$X167)*POWER($D167,INDEX('Flow Curves'!$C$5:$C$11,$X167)))</f>
        <v/>
      </c>
    </row>
    <row r="168" customFormat="false" ht="15" hidden="false" customHeight="false" outlineLevel="0" collapsed="false">
      <c r="A168" s="16" t="n">
        <v>161</v>
      </c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8" t="n">
        <f aca="false">IF($O168=0,0,$O168*60*Cost!$D$16*Cost!$D$17*IFERROR(INDEX(Cost!$I$5:$I$11,MATCH($B168,Cost!$H$5:$H$11,0)),0)/Cost!$D$5)</f>
        <v>0</v>
      </c>
      <c r="O168" s="19" t="n">
        <f aca="false">IF($W168="",0,IF(INDEX('Flow Curves'!$A$5:$A$11,$X168)=INDEX('Flow Curves'!$A$5:$A$11,$W168),$Y168,$Y168+($Z168-$Y168)*(MAX(10,MIN(150,$C168))-INDEX('Flow Curves'!$A$5:$A$11,$W168))/(INDEX('Flow Curves'!$A$5:$A$11,$X168)-INDEX('Flow Curves'!$A$5:$A$11,$W168))))</f>
        <v>0</v>
      </c>
      <c r="P168" s="20" t="n">
        <f aca="false">IF(OR($B168="Air",$B168="Open Blow"),$O168*60*Cost!$D$16*Cost!$D$17/Cost!$D$5*Cost!$D$13,0)</f>
        <v>0</v>
      </c>
      <c r="Q168" s="17"/>
      <c r="U168" s="16" t="str">
        <f aca="false">IF($D168="","",IF(ISNA(MATCH($B168,Cost!$H$5:$H$11,0)),"CHECK GAS TYPE",IF(OR($C168&lt;10,$C168&gt;150),"CHECK PRESSURE: outside 10-150 psi table",IF(OR($D168&lt;1,$D168&gt;120),"CHECK dB: outside 1-120 table",IF(ISNA(MATCH($C168,'Flow Curves'!$A$5:$A$11,0)),"INTERPOLATED between curves","Table curve")))))</f>
        <v/>
      </c>
      <c r="W168" s="2" t="str">
        <f aca="false">IF(OR($D168="",$C168=""),"",MATCH(MAX(10,MIN(150,$C168)),'Flow Curves'!$A$5:$A$11,1))</f>
        <v/>
      </c>
      <c r="X168" s="2" t="str">
        <f aca="false">IF($W168="","",MIN($W168+1,7))</f>
        <v/>
      </c>
      <c r="Y168" s="2" t="str">
        <f aca="false">IF($W168="","",INDEX('Flow Curves'!$B$5:$B$11,$W168)*POWER($D168,INDEX('Flow Curves'!$C$5:$C$11,$W168)))</f>
        <v/>
      </c>
      <c r="Z168" s="2" t="str">
        <f aca="false">IF($W168="","",INDEX('Flow Curves'!$B$5:$B$11,$X168)*POWER($D168,INDEX('Flow Curves'!$C$5:$C$11,$X168)))</f>
        <v/>
      </c>
    </row>
    <row r="169" customFormat="false" ht="15" hidden="false" customHeight="false" outlineLevel="0" collapsed="false">
      <c r="A169" s="16" t="n">
        <v>162</v>
      </c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8" t="n">
        <f aca="false">IF($O169=0,0,$O169*60*Cost!$D$16*Cost!$D$17*IFERROR(INDEX(Cost!$I$5:$I$11,MATCH($B169,Cost!$H$5:$H$11,0)),0)/Cost!$D$5)</f>
        <v>0</v>
      </c>
      <c r="O169" s="19" t="n">
        <f aca="false">IF($W169="",0,IF(INDEX('Flow Curves'!$A$5:$A$11,$X169)=INDEX('Flow Curves'!$A$5:$A$11,$W169),$Y169,$Y169+($Z169-$Y169)*(MAX(10,MIN(150,$C169))-INDEX('Flow Curves'!$A$5:$A$11,$W169))/(INDEX('Flow Curves'!$A$5:$A$11,$X169)-INDEX('Flow Curves'!$A$5:$A$11,$W169))))</f>
        <v>0</v>
      </c>
      <c r="P169" s="20" t="n">
        <f aca="false">IF(OR($B169="Air",$B169="Open Blow"),$O169*60*Cost!$D$16*Cost!$D$17/Cost!$D$5*Cost!$D$13,0)</f>
        <v>0</v>
      </c>
      <c r="Q169" s="17"/>
      <c r="U169" s="16" t="str">
        <f aca="false">IF($D169="","",IF(ISNA(MATCH($B169,Cost!$H$5:$H$11,0)),"CHECK GAS TYPE",IF(OR($C169&lt;10,$C169&gt;150),"CHECK PRESSURE: outside 10-150 psi table",IF(OR($D169&lt;1,$D169&gt;120),"CHECK dB: outside 1-120 table",IF(ISNA(MATCH($C169,'Flow Curves'!$A$5:$A$11,0)),"INTERPOLATED between curves","Table curve")))))</f>
        <v/>
      </c>
      <c r="W169" s="2" t="str">
        <f aca="false">IF(OR($D169="",$C169=""),"",MATCH(MAX(10,MIN(150,$C169)),'Flow Curves'!$A$5:$A$11,1))</f>
        <v/>
      </c>
      <c r="X169" s="2" t="str">
        <f aca="false">IF($W169="","",MIN($W169+1,7))</f>
        <v/>
      </c>
      <c r="Y169" s="2" t="str">
        <f aca="false">IF($W169="","",INDEX('Flow Curves'!$B$5:$B$11,$W169)*POWER($D169,INDEX('Flow Curves'!$C$5:$C$11,$W169)))</f>
        <v/>
      </c>
      <c r="Z169" s="2" t="str">
        <f aca="false">IF($W169="","",INDEX('Flow Curves'!$B$5:$B$11,$X169)*POWER($D169,INDEX('Flow Curves'!$C$5:$C$11,$X169)))</f>
        <v/>
      </c>
    </row>
    <row r="170" customFormat="false" ht="15" hidden="false" customHeight="false" outlineLevel="0" collapsed="false">
      <c r="A170" s="16" t="n">
        <v>163</v>
      </c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8" t="n">
        <f aca="false">IF($O170=0,0,$O170*60*Cost!$D$16*Cost!$D$17*IFERROR(INDEX(Cost!$I$5:$I$11,MATCH($B170,Cost!$H$5:$H$11,0)),0)/Cost!$D$5)</f>
        <v>0</v>
      </c>
      <c r="O170" s="19" t="n">
        <f aca="false">IF($W170="",0,IF(INDEX('Flow Curves'!$A$5:$A$11,$X170)=INDEX('Flow Curves'!$A$5:$A$11,$W170),$Y170,$Y170+($Z170-$Y170)*(MAX(10,MIN(150,$C170))-INDEX('Flow Curves'!$A$5:$A$11,$W170))/(INDEX('Flow Curves'!$A$5:$A$11,$X170)-INDEX('Flow Curves'!$A$5:$A$11,$W170))))</f>
        <v>0</v>
      </c>
      <c r="P170" s="20" t="n">
        <f aca="false">IF(OR($B170="Air",$B170="Open Blow"),$O170*60*Cost!$D$16*Cost!$D$17/Cost!$D$5*Cost!$D$13,0)</f>
        <v>0</v>
      </c>
      <c r="Q170" s="17"/>
      <c r="U170" s="16" t="str">
        <f aca="false">IF($D170="","",IF(ISNA(MATCH($B170,Cost!$H$5:$H$11,0)),"CHECK GAS TYPE",IF(OR($C170&lt;10,$C170&gt;150),"CHECK PRESSURE: outside 10-150 psi table",IF(OR($D170&lt;1,$D170&gt;120),"CHECK dB: outside 1-120 table",IF(ISNA(MATCH($C170,'Flow Curves'!$A$5:$A$11,0)),"INTERPOLATED between curves","Table curve")))))</f>
        <v/>
      </c>
      <c r="W170" s="2" t="str">
        <f aca="false">IF(OR($D170="",$C170=""),"",MATCH(MAX(10,MIN(150,$C170)),'Flow Curves'!$A$5:$A$11,1))</f>
        <v/>
      </c>
      <c r="X170" s="2" t="str">
        <f aca="false">IF($W170="","",MIN($W170+1,7))</f>
        <v/>
      </c>
      <c r="Y170" s="2" t="str">
        <f aca="false">IF($W170="","",INDEX('Flow Curves'!$B$5:$B$11,$W170)*POWER($D170,INDEX('Flow Curves'!$C$5:$C$11,$W170)))</f>
        <v/>
      </c>
      <c r="Z170" s="2" t="str">
        <f aca="false">IF($W170="","",INDEX('Flow Curves'!$B$5:$B$11,$X170)*POWER($D170,INDEX('Flow Curves'!$C$5:$C$11,$X170)))</f>
        <v/>
      </c>
    </row>
    <row r="171" customFormat="false" ht="15" hidden="false" customHeight="false" outlineLevel="0" collapsed="false">
      <c r="A171" s="16" t="n">
        <v>164</v>
      </c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8" t="n">
        <f aca="false">IF($O171=0,0,$O171*60*Cost!$D$16*Cost!$D$17*IFERROR(INDEX(Cost!$I$5:$I$11,MATCH($B171,Cost!$H$5:$H$11,0)),0)/Cost!$D$5)</f>
        <v>0</v>
      </c>
      <c r="O171" s="19" t="n">
        <f aca="false">IF($W171="",0,IF(INDEX('Flow Curves'!$A$5:$A$11,$X171)=INDEX('Flow Curves'!$A$5:$A$11,$W171),$Y171,$Y171+($Z171-$Y171)*(MAX(10,MIN(150,$C171))-INDEX('Flow Curves'!$A$5:$A$11,$W171))/(INDEX('Flow Curves'!$A$5:$A$11,$X171)-INDEX('Flow Curves'!$A$5:$A$11,$W171))))</f>
        <v>0</v>
      </c>
      <c r="P171" s="20" t="n">
        <f aca="false">IF(OR($B171="Air",$B171="Open Blow"),$O171*60*Cost!$D$16*Cost!$D$17/Cost!$D$5*Cost!$D$13,0)</f>
        <v>0</v>
      </c>
      <c r="Q171" s="17"/>
      <c r="U171" s="16" t="str">
        <f aca="false">IF($D171="","",IF(ISNA(MATCH($B171,Cost!$H$5:$H$11,0)),"CHECK GAS TYPE",IF(OR($C171&lt;10,$C171&gt;150),"CHECK PRESSURE: outside 10-150 psi table",IF(OR($D171&lt;1,$D171&gt;120),"CHECK dB: outside 1-120 table",IF(ISNA(MATCH($C171,'Flow Curves'!$A$5:$A$11,0)),"INTERPOLATED between curves","Table curve")))))</f>
        <v/>
      </c>
      <c r="W171" s="2" t="str">
        <f aca="false">IF(OR($D171="",$C171=""),"",MATCH(MAX(10,MIN(150,$C171)),'Flow Curves'!$A$5:$A$11,1))</f>
        <v/>
      </c>
      <c r="X171" s="2" t="str">
        <f aca="false">IF($W171="","",MIN($W171+1,7))</f>
        <v/>
      </c>
      <c r="Y171" s="2" t="str">
        <f aca="false">IF($W171="","",INDEX('Flow Curves'!$B$5:$B$11,$W171)*POWER($D171,INDEX('Flow Curves'!$C$5:$C$11,$W171)))</f>
        <v/>
      </c>
      <c r="Z171" s="2" t="str">
        <f aca="false">IF($W171="","",INDEX('Flow Curves'!$B$5:$B$11,$X171)*POWER($D171,INDEX('Flow Curves'!$C$5:$C$11,$X171)))</f>
        <v/>
      </c>
    </row>
    <row r="172" customFormat="false" ht="15" hidden="false" customHeight="false" outlineLevel="0" collapsed="false">
      <c r="A172" s="16" t="n">
        <v>165</v>
      </c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8" t="n">
        <f aca="false">IF($O172=0,0,$O172*60*Cost!$D$16*Cost!$D$17*IFERROR(INDEX(Cost!$I$5:$I$11,MATCH($B172,Cost!$H$5:$H$11,0)),0)/Cost!$D$5)</f>
        <v>0</v>
      </c>
      <c r="O172" s="19" t="n">
        <f aca="false">IF($W172="",0,IF(INDEX('Flow Curves'!$A$5:$A$11,$X172)=INDEX('Flow Curves'!$A$5:$A$11,$W172),$Y172,$Y172+($Z172-$Y172)*(MAX(10,MIN(150,$C172))-INDEX('Flow Curves'!$A$5:$A$11,$W172))/(INDEX('Flow Curves'!$A$5:$A$11,$X172)-INDEX('Flow Curves'!$A$5:$A$11,$W172))))</f>
        <v>0</v>
      </c>
      <c r="P172" s="20" t="n">
        <f aca="false">IF(OR($B172="Air",$B172="Open Blow"),$O172*60*Cost!$D$16*Cost!$D$17/Cost!$D$5*Cost!$D$13,0)</f>
        <v>0</v>
      </c>
      <c r="Q172" s="17"/>
      <c r="U172" s="16" t="str">
        <f aca="false">IF($D172="","",IF(ISNA(MATCH($B172,Cost!$H$5:$H$11,0)),"CHECK GAS TYPE",IF(OR($C172&lt;10,$C172&gt;150),"CHECK PRESSURE: outside 10-150 psi table",IF(OR($D172&lt;1,$D172&gt;120),"CHECK dB: outside 1-120 table",IF(ISNA(MATCH($C172,'Flow Curves'!$A$5:$A$11,0)),"INTERPOLATED between curves","Table curve")))))</f>
        <v/>
      </c>
      <c r="W172" s="2" t="str">
        <f aca="false">IF(OR($D172="",$C172=""),"",MATCH(MAX(10,MIN(150,$C172)),'Flow Curves'!$A$5:$A$11,1))</f>
        <v/>
      </c>
      <c r="X172" s="2" t="str">
        <f aca="false">IF($W172="","",MIN($W172+1,7))</f>
        <v/>
      </c>
      <c r="Y172" s="2" t="str">
        <f aca="false">IF($W172="","",INDEX('Flow Curves'!$B$5:$B$11,$W172)*POWER($D172,INDEX('Flow Curves'!$C$5:$C$11,$W172)))</f>
        <v/>
      </c>
      <c r="Z172" s="2" t="str">
        <f aca="false">IF($W172="","",INDEX('Flow Curves'!$B$5:$B$11,$X172)*POWER($D172,INDEX('Flow Curves'!$C$5:$C$11,$X172)))</f>
        <v/>
      </c>
    </row>
    <row r="173" customFormat="false" ht="15" hidden="false" customHeight="false" outlineLevel="0" collapsed="false">
      <c r="A173" s="16" t="n">
        <v>166</v>
      </c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8" t="n">
        <f aca="false">IF($O173=0,0,$O173*60*Cost!$D$16*Cost!$D$17*IFERROR(INDEX(Cost!$I$5:$I$11,MATCH($B173,Cost!$H$5:$H$11,0)),0)/Cost!$D$5)</f>
        <v>0</v>
      </c>
      <c r="O173" s="19" t="n">
        <f aca="false">IF($W173="",0,IF(INDEX('Flow Curves'!$A$5:$A$11,$X173)=INDEX('Flow Curves'!$A$5:$A$11,$W173),$Y173,$Y173+($Z173-$Y173)*(MAX(10,MIN(150,$C173))-INDEX('Flow Curves'!$A$5:$A$11,$W173))/(INDEX('Flow Curves'!$A$5:$A$11,$X173)-INDEX('Flow Curves'!$A$5:$A$11,$W173))))</f>
        <v>0</v>
      </c>
      <c r="P173" s="20" t="n">
        <f aca="false">IF(OR($B173="Air",$B173="Open Blow"),$O173*60*Cost!$D$16*Cost!$D$17/Cost!$D$5*Cost!$D$13,0)</f>
        <v>0</v>
      </c>
      <c r="Q173" s="17"/>
      <c r="U173" s="16" t="str">
        <f aca="false">IF($D173="","",IF(ISNA(MATCH($B173,Cost!$H$5:$H$11,0)),"CHECK GAS TYPE",IF(OR($C173&lt;10,$C173&gt;150),"CHECK PRESSURE: outside 10-150 psi table",IF(OR($D173&lt;1,$D173&gt;120),"CHECK dB: outside 1-120 table",IF(ISNA(MATCH($C173,'Flow Curves'!$A$5:$A$11,0)),"INTERPOLATED between curves","Table curve")))))</f>
        <v/>
      </c>
      <c r="W173" s="2" t="str">
        <f aca="false">IF(OR($D173="",$C173=""),"",MATCH(MAX(10,MIN(150,$C173)),'Flow Curves'!$A$5:$A$11,1))</f>
        <v/>
      </c>
      <c r="X173" s="2" t="str">
        <f aca="false">IF($W173="","",MIN($W173+1,7))</f>
        <v/>
      </c>
      <c r="Y173" s="2" t="str">
        <f aca="false">IF($W173="","",INDEX('Flow Curves'!$B$5:$B$11,$W173)*POWER($D173,INDEX('Flow Curves'!$C$5:$C$11,$W173)))</f>
        <v/>
      </c>
      <c r="Z173" s="2" t="str">
        <f aca="false">IF($W173="","",INDEX('Flow Curves'!$B$5:$B$11,$X173)*POWER($D173,INDEX('Flow Curves'!$C$5:$C$11,$X173)))</f>
        <v/>
      </c>
    </row>
    <row r="174" customFormat="false" ht="15" hidden="false" customHeight="false" outlineLevel="0" collapsed="false">
      <c r="A174" s="16" t="n">
        <v>167</v>
      </c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8" t="n">
        <f aca="false">IF($O174=0,0,$O174*60*Cost!$D$16*Cost!$D$17*IFERROR(INDEX(Cost!$I$5:$I$11,MATCH($B174,Cost!$H$5:$H$11,0)),0)/Cost!$D$5)</f>
        <v>0</v>
      </c>
      <c r="O174" s="19" t="n">
        <f aca="false">IF($W174="",0,IF(INDEX('Flow Curves'!$A$5:$A$11,$X174)=INDEX('Flow Curves'!$A$5:$A$11,$W174),$Y174,$Y174+($Z174-$Y174)*(MAX(10,MIN(150,$C174))-INDEX('Flow Curves'!$A$5:$A$11,$W174))/(INDEX('Flow Curves'!$A$5:$A$11,$X174)-INDEX('Flow Curves'!$A$5:$A$11,$W174))))</f>
        <v>0</v>
      </c>
      <c r="P174" s="20" t="n">
        <f aca="false">IF(OR($B174="Air",$B174="Open Blow"),$O174*60*Cost!$D$16*Cost!$D$17/Cost!$D$5*Cost!$D$13,0)</f>
        <v>0</v>
      </c>
      <c r="Q174" s="17"/>
      <c r="U174" s="16" t="str">
        <f aca="false">IF($D174="","",IF(ISNA(MATCH($B174,Cost!$H$5:$H$11,0)),"CHECK GAS TYPE",IF(OR($C174&lt;10,$C174&gt;150),"CHECK PRESSURE: outside 10-150 psi table",IF(OR($D174&lt;1,$D174&gt;120),"CHECK dB: outside 1-120 table",IF(ISNA(MATCH($C174,'Flow Curves'!$A$5:$A$11,0)),"INTERPOLATED between curves","Table curve")))))</f>
        <v/>
      </c>
      <c r="W174" s="2" t="str">
        <f aca="false">IF(OR($D174="",$C174=""),"",MATCH(MAX(10,MIN(150,$C174)),'Flow Curves'!$A$5:$A$11,1))</f>
        <v/>
      </c>
      <c r="X174" s="2" t="str">
        <f aca="false">IF($W174="","",MIN($W174+1,7))</f>
        <v/>
      </c>
      <c r="Y174" s="2" t="str">
        <f aca="false">IF($W174="","",INDEX('Flow Curves'!$B$5:$B$11,$W174)*POWER($D174,INDEX('Flow Curves'!$C$5:$C$11,$W174)))</f>
        <v/>
      </c>
      <c r="Z174" s="2" t="str">
        <f aca="false">IF($W174="","",INDEX('Flow Curves'!$B$5:$B$11,$X174)*POWER($D174,INDEX('Flow Curves'!$C$5:$C$11,$X174)))</f>
        <v/>
      </c>
    </row>
    <row r="175" customFormat="false" ht="15" hidden="false" customHeight="false" outlineLevel="0" collapsed="false">
      <c r="A175" s="16" t="n">
        <v>168</v>
      </c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8" t="n">
        <f aca="false">IF($O175=0,0,$O175*60*Cost!$D$16*Cost!$D$17*IFERROR(INDEX(Cost!$I$5:$I$11,MATCH($B175,Cost!$H$5:$H$11,0)),0)/Cost!$D$5)</f>
        <v>0</v>
      </c>
      <c r="O175" s="19" t="n">
        <f aca="false">IF($W175="",0,IF(INDEX('Flow Curves'!$A$5:$A$11,$X175)=INDEX('Flow Curves'!$A$5:$A$11,$W175),$Y175,$Y175+($Z175-$Y175)*(MAX(10,MIN(150,$C175))-INDEX('Flow Curves'!$A$5:$A$11,$W175))/(INDEX('Flow Curves'!$A$5:$A$11,$X175)-INDEX('Flow Curves'!$A$5:$A$11,$W175))))</f>
        <v>0</v>
      </c>
      <c r="P175" s="20" t="n">
        <f aca="false">IF(OR($B175="Air",$B175="Open Blow"),$O175*60*Cost!$D$16*Cost!$D$17/Cost!$D$5*Cost!$D$13,0)</f>
        <v>0</v>
      </c>
      <c r="Q175" s="17"/>
      <c r="U175" s="16" t="str">
        <f aca="false">IF($D175="","",IF(ISNA(MATCH($B175,Cost!$H$5:$H$11,0)),"CHECK GAS TYPE",IF(OR($C175&lt;10,$C175&gt;150),"CHECK PRESSURE: outside 10-150 psi table",IF(OR($D175&lt;1,$D175&gt;120),"CHECK dB: outside 1-120 table",IF(ISNA(MATCH($C175,'Flow Curves'!$A$5:$A$11,0)),"INTERPOLATED between curves","Table curve")))))</f>
        <v/>
      </c>
      <c r="W175" s="2" t="str">
        <f aca="false">IF(OR($D175="",$C175=""),"",MATCH(MAX(10,MIN(150,$C175)),'Flow Curves'!$A$5:$A$11,1))</f>
        <v/>
      </c>
      <c r="X175" s="2" t="str">
        <f aca="false">IF($W175="","",MIN($W175+1,7))</f>
        <v/>
      </c>
      <c r="Y175" s="2" t="str">
        <f aca="false">IF($W175="","",INDEX('Flow Curves'!$B$5:$B$11,$W175)*POWER($D175,INDEX('Flow Curves'!$C$5:$C$11,$W175)))</f>
        <v/>
      </c>
      <c r="Z175" s="2" t="str">
        <f aca="false">IF($W175="","",INDEX('Flow Curves'!$B$5:$B$11,$X175)*POWER($D175,INDEX('Flow Curves'!$C$5:$C$11,$X175)))</f>
        <v/>
      </c>
    </row>
    <row r="176" customFormat="false" ht="15" hidden="false" customHeight="false" outlineLevel="0" collapsed="false">
      <c r="A176" s="16" t="n">
        <v>169</v>
      </c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8" t="n">
        <f aca="false">IF($O176=0,0,$O176*60*Cost!$D$16*Cost!$D$17*IFERROR(INDEX(Cost!$I$5:$I$11,MATCH($B176,Cost!$H$5:$H$11,0)),0)/Cost!$D$5)</f>
        <v>0</v>
      </c>
      <c r="O176" s="19" t="n">
        <f aca="false">IF($W176="",0,IF(INDEX('Flow Curves'!$A$5:$A$11,$X176)=INDEX('Flow Curves'!$A$5:$A$11,$W176),$Y176,$Y176+($Z176-$Y176)*(MAX(10,MIN(150,$C176))-INDEX('Flow Curves'!$A$5:$A$11,$W176))/(INDEX('Flow Curves'!$A$5:$A$11,$X176)-INDEX('Flow Curves'!$A$5:$A$11,$W176))))</f>
        <v>0</v>
      </c>
      <c r="P176" s="20" t="n">
        <f aca="false">IF(OR($B176="Air",$B176="Open Blow"),$O176*60*Cost!$D$16*Cost!$D$17/Cost!$D$5*Cost!$D$13,0)</f>
        <v>0</v>
      </c>
      <c r="Q176" s="17"/>
      <c r="U176" s="16" t="str">
        <f aca="false">IF($D176="","",IF(ISNA(MATCH($B176,Cost!$H$5:$H$11,0)),"CHECK GAS TYPE",IF(OR($C176&lt;10,$C176&gt;150),"CHECK PRESSURE: outside 10-150 psi table",IF(OR($D176&lt;1,$D176&gt;120),"CHECK dB: outside 1-120 table",IF(ISNA(MATCH($C176,'Flow Curves'!$A$5:$A$11,0)),"INTERPOLATED between curves","Table curve")))))</f>
        <v/>
      </c>
      <c r="W176" s="2" t="str">
        <f aca="false">IF(OR($D176="",$C176=""),"",MATCH(MAX(10,MIN(150,$C176)),'Flow Curves'!$A$5:$A$11,1))</f>
        <v/>
      </c>
      <c r="X176" s="2" t="str">
        <f aca="false">IF($W176="","",MIN($W176+1,7))</f>
        <v/>
      </c>
      <c r="Y176" s="2" t="str">
        <f aca="false">IF($W176="","",INDEX('Flow Curves'!$B$5:$B$11,$W176)*POWER($D176,INDEX('Flow Curves'!$C$5:$C$11,$W176)))</f>
        <v/>
      </c>
      <c r="Z176" s="2" t="str">
        <f aca="false">IF($W176="","",INDEX('Flow Curves'!$B$5:$B$11,$X176)*POWER($D176,INDEX('Flow Curves'!$C$5:$C$11,$X176)))</f>
        <v/>
      </c>
    </row>
    <row r="177" customFormat="false" ht="15" hidden="false" customHeight="false" outlineLevel="0" collapsed="false">
      <c r="A177" s="16" t="n">
        <v>170</v>
      </c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8" t="n">
        <f aca="false">IF($O177=0,0,$O177*60*Cost!$D$16*Cost!$D$17*IFERROR(INDEX(Cost!$I$5:$I$11,MATCH($B177,Cost!$H$5:$H$11,0)),0)/Cost!$D$5)</f>
        <v>0</v>
      </c>
      <c r="O177" s="19" t="n">
        <f aca="false">IF($W177="",0,IF(INDEX('Flow Curves'!$A$5:$A$11,$X177)=INDEX('Flow Curves'!$A$5:$A$11,$W177),$Y177,$Y177+($Z177-$Y177)*(MAX(10,MIN(150,$C177))-INDEX('Flow Curves'!$A$5:$A$11,$W177))/(INDEX('Flow Curves'!$A$5:$A$11,$X177)-INDEX('Flow Curves'!$A$5:$A$11,$W177))))</f>
        <v>0</v>
      </c>
      <c r="P177" s="20" t="n">
        <f aca="false">IF(OR($B177="Air",$B177="Open Blow"),$O177*60*Cost!$D$16*Cost!$D$17/Cost!$D$5*Cost!$D$13,0)</f>
        <v>0</v>
      </c>
      <c r="Q177" s="17"/>
      <c r="U177" s="16" t="str">
        <f aca="false">IF($D177="","",IF(ISNA(MATCH($B177,Cost!$H$5:$H$11,0)),"CHECK GAS TYPE",IF(OR($C177&lt;10,$C177&gt;150),"CHECK PRESSURE: outside 10-150 psi table",IF(OR($D177&lt;1,$D177&gt;120),"CHECK dB: outside 1-120 table",IF(ISNA(MATCH($C177,'Flow Curves'!$A$5:$A$11,0)),"INTERPOLATED between curves","Table curve")))))</f>
        <v/>
      </c>
      <c r="W177" s="2" t="str">
        <f aca="false">IF(OR($D177="",$C177=""),"",MATCH(MAX(10,MIN(150,$C177)),'Flow Curves'!$A$5:$A$11,1))</f>
        <v/>
      </c>
      <c r="X177" s="2" t="str">
        <f aca="false">IF($W177="","",MIN($W177+1,7))</f>
        <v/>
      </c>
      <c r="Y177" s="2" t="str">
        <f aca="false">IF($W177="","",INDEX('Flow Curves'!$B$5:$B$11,$W177)*POWER($D177,INDEX('Flow Curves'!$C$5:$C$11,$W177)))</f>
        <v/>
      </c>
      <c r="Z177" s="2" t="str">
        <f aca="false">IF($W177="","",INDEX('Flow Curves'!$B$5:$B$11,$X177)*POWER($D177,INDEX('Flow Curves'!$C$5:$C$11,$X177)))</f>
        <v/>
      </c>
    </row>
    <row r="178" customFormat="false" ht="15" hidden="false" customHeight="false" outlineLevel="0" collapsed="false">
      <c r="A178" s="16" t="n">
        <v>171</v>
      </c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8" t="n">
        <f aca="false">IF($O178=0,0,$O178*60*Cost!$D$16*Cost!$D$17*IFERROR(INDEX(Cost!$I$5:$I$11,MATCH($B178,Cost!$H$5:$H$11,0)),0)/Cost!$D$5)</f>
        <v>0</v>
      </c>
      <c r="O178" s="19" t="n">
        <f aca="false">IF($W178="",0,IF(INDEX('Flow Curves'!$A$5:$A$11,$X178)=INDEX('Flow Curves'!$A$5:$A$11,$W178),$Y178,$Y178+($Z178-$Y178)*(MAX(10,MIN(150,$C178))-INDEX('Flow Curves'!$A$5:$A$11,$W178))/(INDEX('Flow Curves'!$A$5:$A$11,$X178)-INDEX('Flow Curves'!$A$5:$A$11,$W178))))</f>
        <v>0</v>
      </c>
      <c r="P178" s="20" t="n">
        <f aca="false">IF(OR($B178="Air",$B178="Open Blow"),$O178*60*Cost!$D$16*Cost!$D$17/Cost!$D$5*Cost!$D$13,0)</f>
        <v>0</v>
      </c>
      <c r="Q178" s="17"/>
      <c r="U178" s="16" t="str">
        <f aca="false">IF($D178="","",IF(ISNA(MATCH($B178,Cost!$H$5:$H$11,0)),"CHECK GAS TYPE",IF(OR($C178&lt;10,$C178&gt;150),"CHECK PRESSURE: outside 10-150 psi table",IF(OR($D178&lt;1,$D178&gt;120),"CHECK dB: outside 1-120 table",IF(ISNA(MATCH($C178,'Flow Curves'!$A$5:$A$11,0)),"INTERPOLATED between curves","Table curve")))))</f>
        <v/>
      </c>
      <c r="W178" s="2" t="str">
        <f aca="false">IF(OR($D178="",$C178=""),"",MATCH(MAX(10,MIN(150,$C178)),'Flow Curves'!$A$5:$A$11,1))</f>
        <v/>
      </c>
      <c r="X178" s="2" t="str">
        <f aca="false">IF($W178="","",MIN($W178+1,7))</f>
        <v/>
      </c>
      <c r="Y178" s="2" t="str">
        <f aca="false">IF($W178="","",INDEX('Flow Curves'!$B$5:$B$11,$W178)*POWER($D178,INDEX('Flow Curves'!$C$5:$C$11,$W178)))</f>
        <v/>
      </c>
      <c r="Z178" s="2" t="str">
        <f aca="false">IF($W178="","",INDEX('Flow Curves'!$B$5:$B$11,$X178)*POWER($D178,INDEX('Flow Curves'!$C$5:$C$11,$X178)))</f>
        <v/>
      </c>
    </row>
    <row r="179" customFormat="false" ht="15" hidden="false" customHeight="false" outlineLevel="0" collapsed="false">
      <c r="A179" s="16" t="n">
        <v>172</v>
      </c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8" t="n">
        <f aca="false">IF($O179=0,0,$O179*60*Cost!$D$16*Cost!$D$17*IFERROR(INDEX(Cost!$I$5:$I$11,MATCH($B179,Cost!$H$5:$H$11,0)),0)/Cost!$D$5)</f>
        <v>0</v>
      </c>
      <c r="O179" s="19" t="n">
        <f aca="false">IF($W179="",0,IF(INDEX('Flow Curves'!$A$5:$A$11,$X179)=INDEX('Flow Curves'!$A$5:$A$11,$W179),$Y179,$Y179+($Z179-$Y179)*(MAX(10,MIN(150,$C179))-INDEX('Flow Curves'!$A$5:$A$11,$W179))/(INDEX('Flow Curves'!$A$5:$A$11,$X179)-INDEX('Flow Curves'!$A$5:$A$11,$W179))))</f>
        <v>0</v>
      </c>
      <c r="P179" s="20" t="n">
        <f aca="false">IF(OR($B179="Air",$B179="Open Blow"),$O179*60*Cost!$D$16*Cost!$D$17/Cost!$D$5*Cost!$D$13,0)</f>
        <v>0</v>
      </c>
      <c r="Q179" s="17"/>
      <c r="U179" s="16" t="str">
        <f aca="false">IF($D179="","",IF(ISNA(MATCH($B179,Cost!$H$5:$H$11,0)),"CHECK GAS TYPE",IF(OR($C179&lt;10,$C179&gt;150),"CHECK PRESSURE: outside 10-150 psi table",IF(OR($D179&lt;1,$D179&gt;120),"CHECK dB: outside 1-120 table",IF(ISNA(MATCH($C179,'Flow Curves'!$A$5:$A$11,0)),"INTERPOLATED between curves","Table curve")))))</f>
        <v/>
      </c>
      <c r="W179" s="2" t="str">
        <f aca="false">IF(OR($D179="",$C179=""),"",MATCH(MAX(10,MIN(150,$C179)),'Flow Curves'!$A$5:$A$11,1))</f>
        <v/>
      </c>
      <c r="X179" s="2" t="str">
        <f aca="false">IF($W179="","",MIN($W179+1,7))</f>
        <v/>
      </c>
      <c r="Y179" s="2" t="str">
        <f aca="false">IF($W179="","",INDEX('Flow Curves'!$B$5:$B$11,$W179)*POWER($D179,INDEX('Flow Curves'!$C$5:$C$11,$W179)))</f>
        <v/>
      </c>
      <c r="Z179" s="2" t="str">
        <f aca="false">IF($W179="","",INDEX('Flow Curves'!$B$5:$B$11,$X179)*POWER($D179,INDEX('Flow Curves'!$C$5:$C$11,$X179)))</f>
        <v/>
      </c>
    </row>
    <row r="180" customFormat="false" ht="15" hidden="false" customHeight="false" outlineLevel="0" collapsed="false">
      <c r="A180" s="16" t="n">
        <v>173</v>
      </c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8" t="n">
        <f aca="false">IF($O180=0,0,$O180*60*Cost!$D$16*Cost!$D$17*IFERROR(INDEX(Cost!$I$5:$I$11,MATCH($B180,Cost!$H$5:$H$11,0)),0)/Cost!$D$5)</f>
        <v>0</v>
      </c>
      <c r="O180" s="19" t="n">
        <f aca="false">IF($W180="",0,IF(INDEX('Flow Curves'!$A$5:$A$11,$X180)=INDEX('Flow Curves'!$A$5:$A$11,$W180),$Y180,$Y180+($Z180-$Y180)*(MAX(10,MIN(150,$C180))-INDEX('Flow Curves'!$A$5:$A$11,$W180))/(INDEX('Flow Curves'!$A$5:$A$11,$X180)-INDEX('Flow Curves'!$A$5:$A$11,$W180))))</f>
        <v>0</v>
      </c>
      <c r="P180" s="20" t="n">
        <f aca="false">IF(OR($B180="Air",$B180="Open Blow"),$O180*60*Cost!$D$16*Cost!$D$17/Cost!$D$5*Cost!$D$13,0)</f>
        <v>0</v>
      </c>
      <c r="Q180" s="17"/>
      <c r="U180" s="16" t="str">
        <f aca="false">IF($D180="","",IF(ISNA(MATCH($B180,Cost!$H$5:$H$11,0)),"CHECK GAS TYPE",IF(OR($C180&lt;10,$C180&gt;150),"CHECK PRESSURE: outside 10-150 psi table",IF(OR($D180&lt;1,$D180&gt;120),"CHECK dB: outside 1-120 table",IF(ISNA(MATCH($C180,'Flow Curves'!$A$5:$A$11,0)),"INTERPOLATED between curves","Table curve")))))</f>
        <v/>
      </c>
      <c r="W180" s="2" t="str">
        <f aca="false">IF(OR($D180="",$C180=""),"",MATCH(MAX(10,MIN(150,$C180)),'Flow Curves'!$A$5:$A$11,1))</f>
        <v/>
      </c>
      <c r="X180" s="2" t="str">
        <f aca="false">IF($W180="","",MIN($W180+1,7))</f>
        <v/>
      </c>
      <c r="Y180" s="2" t="str">
        <f aca="false">IF($W180="","",INDEX('Flow Curves'!$B$5:$B$11,$W180)*POWER($D180,INDEX('Flow Curves'!$C$5:$C$11,$W180)))</f>
        <v/>
      </c>
      <c r="Z180" s="2" t="str">
        <f aca="false">IF($W180="","",INDEX('Flow Curves'!$B$5:$B$11,$X180)*POWER($D180,INDEX('Flow Curves'!$C$5:$C$11,$X180)))</f>
        <v/>
      </c>
    </row>
    <row r="181" customFormat="false" ht="15" hidden="false" customHeight="false" outlineLevel="0" collapsed="false">
      <c r="A181" s="16" t="n">
        <v>174</v>
      </c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8" t="n">
        <f aca="false">IF($O181=0,0,$O181*60*Cost!$D$16*Cost!$D$17*IFERROR(INDEX(Cost!$I$5:$I$11,MATCH($B181,Cost!$H$5:$H$11,0)),0)/Cost!$D$5)</f>
        <v>0</v>
      </c>
      <c r="O181" s="19" t="n">
        <f aca="false">IF($W181="",0,IF(INDEX('Flow Curves'!$A$5:$A$11,$X181)=INDEX('Flow Curves'!$A$5:$A$11,$W181),$Y181,$Y181+($Z181-$Y181)*(MAX(10,MIN(150,$C181))-INDEX('Flow Curves'!$A$5:$A$11,$W181))/(INDEX('Flow Curves'!$A$5:$A$11,$X181)-INDEX('Flow Curves'!$A$5:$A$11,$W181))))</f>
        <v>0</v>
      </c>
      <c r="P181" s="20" t="n">
        <f aca="false">IF(OR($B181="Air",$B181="Open Blow"),$O181*60*Cost!$D$16*Cost!$D$17/Cost!$D$5*Cost!$D$13,0)</f>
        <v>0</v>
      </c>
      <c r="Q181" s="17"/>
      <c r="U181" s="16" t="str">
        <f aca="false">IF($D181="","",IF(ISNA(MATCH($B181,Cost!$H$5:$H$11,0)),"CHECK GAS TYPE",IF(OR($C181&lt;10,$C181&gt;150),"CHECK PRESSURE: outside 10-150 psi table",IF(OR($D181&lt;1,$D181&gt;120),"CHECK dB: outside 1-120 table",IF(ISNA(MATCH($C181,'Flow Curves'!$A$5:$A$11,0)),"INTERPOLATED between curves","Table curve")))))</f>
        <v/>
      </c>
      <c r="W181" s="2" t="str">
        <f aca="false">IF(OR($D181="",$C181=""),"",MATCH(MAX(10,MIN(150,$C181)),'Flow Curves'!$A$5:$A$11,1))</f>
        <v/>
      </c>
      <c r="X181" s="2" t="str">
        <f aca="false">IF($W181="","",MIN($W181+1,7))</f>
        <v/>
      </c>
      <c r="Y181" s="2" t="str">
        <f aca="false">IF($W181="","",INDEX('Flow Curves'!$B$5:$B$11,$W181)*POWER($D181,INDEX('Flow Curves'!$C$5:$C$11,$W181)))</f>
        <v/>
      </c>
      <c r="Z181" s="2" t="str">
        <f aca="false">IF($W181="","",INDEX('Flow Curves'!$B$5:$B$11,$X181)*POWER($D181,INDEX('Flow Curves'!$C$5:$C$11,$X181)))</f>
        <v/>
      </c>
    </row>
    <row r="182" customFormat="false" ht="15" hidden="false" customHeight="false" outlineLevel="0" collapsed="false">
      <c r="A182" s="16" t="n">
        <v>175</v>
      </c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8" t="n">
        <f aca="false">IF($O182=0,0,$O182*60*Cost!$D$16*Cost!$D$17*IFERROR(INDEX(Cost!$I$5:$I$11,MATCH($B182,Cost!$H$5:$H$11,0)),0)/Cost!$D$5)</f>
        <v>0</v>
      </c>
      <c r="O182" s="19" t="n">
        <f aca="false">IF($W182="",0,IF(INDEX('Flow Curves'!$A$5:$A$11,$X182)=INDEX('Flow Curves'!$A$5:$A$11,$W182),$Y182,$Y182+($Z182-$Y182)*(MAX(10,MIN(150,$C182))-INDEX('Flow Curves'!$A$5:$A$11,$W182))/(INDEX('Flow Curves'!$A$5:$A$11,$X182)-INDEX('Flow Curves'!$A$5:$A$11,$W182))))</f>
        <v>0</v>
      </c>
      <c r="P182" s="20" t="n">
        <f aca="false">IF(OR($B182="Air",$B182="Open Blow"),$O182*60*Cost!$D$16*Cost!$D$17/Cost!$D$5*Cost!$D$13,0)</f>
        <v>0</v>
      </c>
      <c r="Q182" s="17"/>
      <c r="U182" s="16" t="str">
        <f aca="false">IF($D182="","",IF(ISNA(MATCH($B182,Cost!$H$5:$H$11,0)),"CHECK GAS TYPE",IF(OR($C182&lt;10,$C182&gt;150),"CHECK PRESSURE: outside 10-150 psi table",IF(OR($D182&lt;1,$D182&gt;120),"CHECK dB: outside 1-120 table",IF(ISNA(MATCH($C182,'Flow Curves'!$A$5:$A$11,0)),"INTERPOLATED between curves","Table curve")))))</f>
        <v/>
      </c>
      <c r="W182" s="2" t="str">
        <f aca="false">IF(OR($D182="",$C182=""),"",MATCH(MAX(10,MIN(150,$C182)),'Flow Curves'!$A$5:$A$11,1))</f>
        <v/>
      </c>
      <c r="X182" s="2" t="str">
        <f aca="false">IF($W182="","",MIN($W182+1,7))</f>
        <v/>
      </c>
      <c r="Y182" s="2" t="str">
        <f aca="false">IF($W182="","",INDEX('Flow Curves'!$B$5:$B$11,$W182)*POWER($D182,INDEX('Flow Curves'!$C$5:$C$11,$W182)))</f>
        <v/>
      </c>
      <c r="Z182" s="2" t="str">
        <f aca="false">IF($W182="","",INDEX('Flow Curves'!$B$5:$B$11,$X182)*POWER($D182,INDEX('Flow Curves'!$C$5:$C$11,$X182)))</f>
        <v/>
      </c>
    </row>
    <row r="183" customFormat="false" ht="15" hidden="false" customHeight="false" outlineLevel="0" collapsed="false">
      <c r="A183" s="16" t="n">
        <v>176</v>
      </c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8" t="n">
        <f aca="false">IF($O183=0,0,$O183*60*Cost!$D$16*Cost!$D$17*IFERROR(INDEX(Cost!$I$5:$I$11,MATCH($B183,Cost!$H$5:$H$11,0)),0)/Cost!$D$5)</f>
        <v>0</v>
      </c>
      <c r="O183" s="19" t="n">
        <f aca="false">IF($W183="",0,IF(INDEX('Flow Curves'!$A$5:$A$11,$X183)=INDEX('Flow Curves'!$A$5:$A$11,$W183),$Y183,$Y183+($Z183-$Y183)*(MAX(10,MIN(150,$C183))-INDEX('Flow Curves'!$A$5:$A$11,$W183))/(INDEX('Flow Curves'!$A$5:$A$11,$X183)-INDEX('Flow Curves'!$A$5:$A$11,$W183))))</f>
        <v>0</v>
      </c>
      <c r="P183" s="20" t="n">
        <f aca="false">IF(OR($B183="Air",$B183="Open Blow"),$O183*60*Cost!$D$16*Cost!$D$17/Cost!$D$5*Cost!$D$13,0)</f>
        <v>0</v>
      </c>
      <c r="Q183" s="17"/>
      <c r="U183" s="16" t="str">
        <f aca="false">IF($D183="","",IF(ISNA(MATCH($B183,Cost!$H$5:$H$11,0)),"CHECK GAS TYPE",IF(OR($C183&lt;10,$C183&gt;150),"CHECK PRESSURE: outside 10-150 psi table",IF(OR($D183&lt;1,$D183&gt;120),"CHECK dB: outside 1-120 table",IF(ISNA(MATCH($C183,'Flow Curves'!$A$5:$A$11,0)),"INTERPOLATED between curves","Table curve")))))</f>
        <v/>
      </c>
      <c r="W183" s="2" t="str">
        <f aca="false">IF(OR($D183="",$C183=""),"",MATCH(MAX(10,MIN(150,$C183)),'Flow Curves'!$A$5:$A$11,1))</f>
        <v/>
      </c>
      <c r="X183" s="2" t="str">
        <f aca="false">IF($W183="","",MIN($W183+1,7))</f>
        <v/>
      </c>
      <c r="Y183" s="2" t="str">
        <f aca="false">IF($W183="","",INDEX('Flow Curves'!$B$5:$B$11,$W183)*POWER($D183,INDEX('Flow Curves'!$C$5:$C$11,$W183)))</f>
        <v/>
      </c>
      <c r="Z183" s="2" t="str">
        <f aca="false">IF($W183="","",INDEX('Flow Curves'!$B$5:$B$11,$X183)*POWER($D183,INDEX('Flow Curves'!$C$5:$C$11,$X183)))</f>
        <v/>
      </c>
    </row>
    <row r="184" customFormat="false" ht="15" hidden="false" customHeight="false" outlineLevel="0" collapsed="false">
      <c r="A184" s="16" t="n">
        <v>177</v>
      </c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8" t="n">
        <f aca="false">IF($O184=0,0,$O184*60*Cost!$D$16*Cost!$D$17*IFERROR(INDEX(Cost!$I$5:$I$11,MATCH($B184,Cost!$H$5:$H$11,0)),0)/Cost!$D$5)</f>
        <v>0</v>
      </c>
      <c r="O184" s="19" t="n">
        <f aca="false">IF($W184="",0,IF(INDEX('Flow Curves'!$A$5:$A$11,$X184)=INDEX('Flow Curves'!$A$5:$A$11,$W184),$Y184,$Y184+($Z184-$Y184)*(MAX(10,MIN(150,$C184))-INDEX('Flow Curves'!$A$5:$A$11,$W184))/(INDEX('Flow Curves'!$A$5:$A$11,$X184)-INDEX('Flow Curves'!$A$5:$A$11,$W184))))</f>
        <v>0</v>
      </c>
      <c r="P184" s="20" t="n">
        <f aca="false">IF(OR($B184="Air",$B184="Open Blow"),$O184*60*Cost!$D$16*Cost!$D$17/Cost!$D$5*Cost!$D$13,0)</f>
        <v>0</v>
      </c>
      <c r="Q184" s="17"/>
      <c r="U184" s="16" t="str">
        <f aca="false">IF($D184="","",IF(ISNA(MATCH($B184,Cost!$H$5:$H$11,0)),"CHECK GAS TYPE",IF(OR($C184&lt;10,$C184&gt;150),"CHECK PRESSURE: outside 10-150 psi table",IF(OR($D184&lt;1,$D184&gt;120),"CHECK dB: outside 1-120 table",IF(ISNA(MATCH($C184,'Flow Curves'!$A$5:$A$11,0)),"INTERPOLATED between curves","Table curve")))))</f>
        <v/>
      </c>
      <c r="W184" s="2" t="str">
        <f aca="false">IF(OR($D184="",$C184=""),"",MATCH(MAX(10,MIN(150,$C184)),'Flow Curves'!$A$5:$A$11,1))</f>
        <v/>
      </c>
      <c r="X184" s="2" t="str">
        <f aca="false">IF($W184="","",MIN($W184+1,7))</f>
        <v/>
      </c>
      <c r="Y184" s="2" t="str">
        <f aca="false">IF($W184="","",INDEX('Flow Curves'!$B$5:$B$11,$W184)*POWER($D184,INDEX('Flow Curves'!$C$5:$C$11,$W184)))</f>
        <v/>
      </c>
      <c r="Z184" s="2" t="str">
        <f aca="false">IF($W184="","",INDEX('Flow Curves'!$B$5:$B$11,$X184)*POWER($D184,INDEX('Flow Curves'!$C$5:$C$11,$X184)))</f>
        <v/>
      </c>
    </row>
    <row r="185" customFormat="false" ht="15" hidden="false" customHeight="false" outlineLevel="0" collapsed="false">
      <c r="A185" s="16" t="n">
        <v>178</v>
      </c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8" t="n">
        <f aca="false">IF($O185=0,0,$O185*60*Cost!$D$16*Cost!$D$17*IFERROR(INDEX(Cost!$I$5:$I$11,MATCH($B185,Cost!$H$5:$H$11,0)),0)/Cost!$D$5)</f>
        <v>0</v>
      </c>
      <c r="O185" s="19" t="n">
        <f aca="false">IF($W185="",0,IF(INDEX('Flow Curves'!$A$5:$A$11,$X185)=INDEX('Flow Curves'!$A$5:$A$11,$W185),$Y185,$Y185+($Z185-$Y185)*(MAX(10,MIN(150,$C185))-INDEX('Flow Curves'!$A$5:$A$11,$W185))/(INDEX('Flow Curves'!$A$5:$A$11,$X185)-INDEX('Flow Curves'!$A$5:$A$11,$W185))))</f>
        <v>0</v>
      </c>
      <c r="P185" s="20" t="n">
        <f aca="false">IF(OR($B185="Air",$B185="Open Blow"),$O185*60*Cost!$D$16*Cost!$D$17/Cost!$D$5*Cost!$D$13,0)</f>
        <v>0</v>
      </c>
      <c r="Q185" s="17"/>
      <c r="U185" s="16" t="str">
        <f aca="false">IF($D185="","",IF(ISNA(MATCH($B185,Cost!$H$5:$H$11,0)),"CHECK GAS TYPE",IF(OR($C185&lt;10,$C185&gt;150),"CHECK PRESSURE: outside 10-150 psi table",IF(OR($D185&lt;1,$D185&gt;120),"CHECK dB: outside 1-120 table",IF(ISNA(MATCH($C185,'Flow Curves'!$A$5:$A$11,0)),"INTERPOLATED between curves","Table curve")))))</f>
        <v/>
      </c>
      <c r="W185" s="2" t="str">
        <f aca="false">IF(OR($D185="",$C185=""),"",MATCH(MAX(10,MIN(150,$C185)),'Flow Curves'!$A$5:$A$11,1))</f>
        <v/>
      </c>
      <c r="X185" s="2" t="str">
        <f aca="false">IF($W185="","",MIN($W185+1,7))</f>
        <v/>
      </c>
      <c r="Y185" s="2" t="str">
        <f aca="false">IF($W185="","",INDEX('Flow Curves'!$B$5:$B$11,$W185)*POWER($D185,INDEX('Flow Curves'!$C$5:$C$11,$W185)))</f>
        <v/>
      </c>
      <c r="Z185" s="2" t="str">
        <f aca="false">IF($W185="","",INDEX('Flow Curves'!$B$5:$B$11,$X185)*POWER($D185,INDEX('Flow Curves'!$C$5:$C$11,$X185)))</f>
        <v/>
      </c>
    </row>
    <row r="186" customFormat="false" ht="15" hidden="false" customHeight="false" outlineLevel="0" collapsed="false">
      <c r="A186" s="16" t="n">
        <v>179</v>
      </c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8" t="n">
        <f aca="false">IF($O186=0,0,$O186*60*Cost!$D$16*Cost!$D$17*IFERROR(INDEX(Cost!$I$5:$I$11,MATCH($B186,Cost!$H$5:$H$11,0)),0)/Cost!$D$5)</f>
        <v>0</v>
      </c>
      <c r="O186" s="19" t="n">
        <f aca="false">IF($W186="",0,IF(INDEX('Flow Curves'!$A$5:$A$11,$X186)=INDEX('Flow Curves'!$A$5:$A$11,$W186),$Y186,$Y186+($Z186-$Y186)*(MAX(10,MIN(150,$C186))-INDEX('Flow Curves'!$A$5:$A$11,$W186))/(INDEX('Flow Curves'!$A$5:$A$11,$X186)-INDEX('Flow Curves'!$A$5:$A$11,$W186))))</f>
        <v>0</v>
      </c>
      <c r="P186" s="20" t="n">
        <f aca="false">IF(OR($B186="Air",$B186="Open Blow"),$O186*60*Cost!$D$16*Cost!$D$17/Cost!$D$5*Cost!$D$13,0)</f>
        <v>0</v>
      </c>
      <c r="Q186" s="17"/>
      <c r="U186" s="16" t="str">
        <f aca="false">IF($D186="","",IF(ISNA(MATCH($B186,Cost!$H$5:$H$11,0)),"CHECK GAS TYPE",IF(OR($C186&lt;10,$C186&gt;150),"CHECK PRESSURE: outside 10-150 psi table",IF(OR($D186&lt;1,$D186&gt;120),"CHECK dB: outside 1-120 table",IF(ISNA(MATCH($C186,'Flow Curves'!$A$5:$A$11,0)),"INTERPOLATED between curves","Table curve")))))</f>
        <v/>
      </c>
      <c r="W186" s="2" t="str">
        <f aca="false">IF(OR($D186="",$C186=""),"",MATCH(MAX(10,MIN(150,$C186)),'Flow Curves'!$A$5:$A$11,1))</f>
        <v/>
      </c>
      <c r="X186" s="2" t="str">
        <f aca="false">IF($W186="","",MIN($W186+1,7))</f>
        <v/>
      </c>
      <c r="Y186" s="2" t="str">
        <f aca="false">IF($W186="","",INDEX('Flow Curves'!$B$5:$B$11,$W186)*POWER($D186,INDEX('Flow Curves'!$C$5:$C$11,$W186)))</f>
        <v/>
      </c>
      <c r="Z186" s="2" t="str">
        <f aca="false">IF($W186="","",INDEX('Flow Curves'!$B$5:$B$11,$X186)*POWER($D186,INDEX('Flow Curves'!$C$5:$C$11,$X186)))</f>
        <v/>
      </c>
    </row>
    <row r="187" customFormat="false" ht="15" hidden="false" customHeight="false" outlineLevel="0" collapsed="false">
      <c r="A187" s="16" t="n">
        <v>180</v>
      </c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8" t="n">
        <f aca="false">IF($O187=0,0,$O187*60*Cost!$D$16*Cost!$D$17*IFERROR(INDEX(Cost!$I$5:$I$11,MATCH($B187,Cost!$H$5:$H$11,0)),0)/Cost!$D$5)</f>
        <v>0</v>
      </c>
      <c r="O187" s="19" t="n">
        <f aca="false">IF($W187="",0,IF(INDEX('Flow Curves'!$A$5:$A$11,$X187)=INDEX('Flow Curves'!$A$5:$A$11,$W187),$Y187,$Y187+($Z187-$Y187)*(MAX(10,MIN(150,$C187))-INDEX('Flow Curves'!$A$5:$A$11,$W187))/(INDEX('Flow Curves'!$A$5:$A$11,$X187)-INDEX('Flow Curves'!$A$5:$A$11,$W187))))</f>
        <v>0</v>
      </c>
      <c r="P187" s="20" t="n">
        <f aca="false">IF(OR($B187="Air",$B187="Open Blow"),$O187*60*Cost!$D$16*Cost!$D$17/Cost!$D$5*Cost!$D$13,0)</f>
        <v>0</v>
      </c>
      <c r="Q187" s="17"/>
      <c r="U187" s="16" t="str">
        <f aca="false">IF($D187="","",IF(ISNA(MATCH($B187,Cost!$H$5:$H$11,0)),"CHECK GAS TYPE",IF(OR($C187&lt;10,$C187&gt;150),"CHECK PRESSURE: outside 10-150 psi table",IF(OR($D187&lt;1,$D187&gt;120),"CHECK dB: outside 1-120 table",IF(ISNA(MATCH($C187,'Flow Curves'!$A$5:$A$11,0)),"INTERPOLATED between curves","Table curve")))))</f>
        <v/>
      </c>
      <c r="W187" s="2" t="str">
        <f aca="false">IF(OR($D187="",$C187=""),"",MATCH(MAX(10,MIN(150,$C187)),'Flow Curves'!$A$5:$A$11,1))</f>
        <v/>
      </c>
      <c r="X187" s="2" t="str">
        <f aca="false">IF($W187="","",MIN($W187+1,7))</f>
        <v/>
      </c>
      <c r="Y187" s="2" t="str">
        <f aca="false">IF($W187="","",INDEX('Flow Curves'!$B$5:$B$11,$W187)*POWER($D187,INDEX('Flow Curves'!$C$5:$C$11,$W187)))</f>
        <v/>
      </c>
      <c r="Z187" s="2" t="str">
        <f aca="false">IF($W187="","",INDEX('Flow Curves'!$B$5:$B$11,$X187)*POWER($D187,INDEX('Flow Curves'!$C$5:$C$11,$X187)))</f>
        <v/>
      </c>
    </row>
    <row r="188" customFormat="false" ht="15" hidden="false" customHeight="false" outlineLevel="0" collapsed="false">
      <c r="A188" s="16" t="n">
        <v>181</v>
      </c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8" t="n">
        <f aca="false">IF($O188=0,0,$O188*60*Cost!$D$16*Cost!$D$17*IFERROR(INDEX(Cost!$I$5:$I$11,MATCH($B188,Cost!$H$5:$H$11,0)),0)/Cost!$D$5)</f>
        <v>0</v>
      </c>
      <c r="O188" s="19" t="n">
        <f aca="false">IF($W188="",0,IF(INDEX('Flow Curves'!$A$5:$A$11,$X188)=INDEX('Flow Curves'!$A$5:$A$11,$W188),$Y188,$Y188+($Z188-$Y188)*(MAX(10,MIN(150,$C188))-INDEX('Flow Curves'!$A$5:$A$11,$W188))/(INDEX('Flow Curves'!$A$5:$A$11,$X188)-INDEX('Flow Curves'!$A$5:$A$11,$W188))))</f>
        <v>0</v>
      </c>
      <c r="P188" s="20" t="n">
        <f aca="false">IF(OR($B188="Air",$B188="Open Blow"),$O188*60*Cost!$D$16*Cost!$D$17/Cost!$D$5*Cost!$D$13,0)</f>
        <v>0</v>
      </c>
      <c r="Q188" s="17"/>
      <c r="U188" s="16" t="str">
        <f aca="false">IF($D188="","",IF(ISNA(MATCH($B188,Cost!$H$5:$H$11,0)),"CHECK GAS TYPE",IF(OR($C188&lt;10,$C188&gt;150),"CHECK PRESSURE: outside 10-150 psi table",IF(OR($D188&lt;1,$D188&gt;120),"CHECK dB: outside 1-120 table",IF(ISNA(MATCH($C188,'Flow Curves'!$A$5:$A$11,0)),"INTERPOLATED between curves","Table curve")))))</f>
        <v/>
      </c>
      <c r="W188" s="2" t="str">
        <f aca="false">IF(OR($D188="",$C188=""),"",MATCH(MAX(10,MIN(150,$C188)),'Flow Curves'!$A$5:$A$11,1))</f>
        <v/>
      </c>
      <c r="X188" s="2" t="str">
        <f aca="false">IF($W188="","",MIN($W188+1,7))</f>
        <v/>
      </c>
      <c r="Y188" s="2" t="str">
        <f aca="false">IF($W188="","",INDEX('Flow Curves'!$B$5:$B$11,$W188)*POWER($D188,INDEX('Flow Curves'!$C$5:$C$11,$W188)))</f>
        <v/>
      </c>
      <c r="Z188" s="2" t="str">
        <f aca="false">IF($W188="","",INDEX('Flow Curves'!$B$5:$B$11,$X188)*POWER($D188,INDEX('Flow Curves'!$C$5:$C$11,$X188)))</f>
        <v/>
      </c>
    </row>
    <row r="189" customFormat="false" ht="15" hidden="false" customHeight="false" outlineLevel="0" collapsed="false">
      <c r="A189" s="16" t="n">
        <v>182</v>
      </c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8" t="n">
        <f aca="false">IF($O189=0,0,$O189*60*Cost!$D$16*Cost!$D$17*IFERROR(INDEX(Cost!$I$5:$I$11,MATCH($B189,Cost!$H$5:$H$11,0)),0)/Cost!$D$5)</f>
        <v>0</v>
      </c>
      <c r="O189" s="19" t="n">
        <f aca="false">IF($W189="",0,IF(INDEX('Flow Curves'!$A$5:$A$11,$X189)=INDEX('Flow Curves'!$A$5:$A$11,$W189),$Y189,$Y189+($Z189-$Y189)*(MAX(10,MIN(150,$C189))-INDEX('Flow Curves'!$A$5:$A$11,$W189))/(INDEX('Flow Curves'!$A$5:$A$11,$X189)-INDEX('Flow Curves'!$A$5:$A$11,$W189))))</f>
        <v>0</v>
      </c>
      <c r="P189" s="20" t="n">
        <f aca="false">IF(OR($B189="Air",$B189="Open Blow"),$O189*60*Cost!$D$16*Cost!$D$17/Cost!$D$5*Cost!$D$13,0)</f>
        <v>0</v>
      </c>
      <c r="Q189" s="17"/>
      <c r="U189" s="16" t="str">
        <f aca="false">IF($D189="","",IF(ISNA(MATCH($B189,Cost!$H$5:$H$11,0)),"CHECK GAS TYPE",IF(OR($C189&lt;10,$C189&gt;150),"CHECK PRESSURE: outside 10-150 psi table",IF(OR($D189&lt;1,$D189&gt;120),"CHECK dB: outside 1-120 table",IF(ISNA(MATCH($C189,'Flow Curves'!$A$5:$A$11,0)),"INTERPOLATED between curves","Table curve")))))</f>
        <v/>
      </c>
      <c r="W189" s="2" t="str">
        <f aca="false">IF(OR($D189="",$C189=""),"",MATCH(MAX(10,MIN(150,$C189)),'Flow Curves'!$A$5:$A$11,1))</f>
        <v/>
      </c>
      <c r="X189" s="2" t="str">
        <f aca="false">IF($W189="","",MIN($W189+1,7))</f>
        <v/>
      </c>
      <c r="Y189" s="2" t="str">
        <f aca="false">IF($W189="","",INDEX('Flow Curves'!$B$5:$B$11,$W189)*POWER($D189,INDEX('Flow Curves'!$C$5:$C$11,$W189)))</f>
        <v/>
      </c>
      <c r="Z189" s="2" t="str">
        <f aca="false">IF($W189="","",INDEX('Flow Curves'!$B$5:$B$11,$X189)*POWER($D189,INDEX('Flow Curves'!$C$5:$C$11,$X189)))</f>
        <v/>
      </c>
    </row>
    <row r="190" customFormat="false" ht="15" hidden="false" customHeight="false" outlineLevel="0" collapsed="false">
      <c r="A190" s="16" t="n">
        <v>183</v>
      </c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8" t="n">
        <f aca="false">IF($O190=0,0,$O190*60*Cost!$D$16*Cost!$D$17*IFERROR(INDEX(Cost!$I$5:$I$11,MATCH($B190,Cost!$H$5:$H$11,0)),0)/Cost!$D$5)</f>
        <v>0</v>
      </c>
      <c r="O190" s="19" t="n">
        <f aca="false">IF($W190="",0,IF(INDEX('Flow Curves'!$A$5:$A$11,$X190)=INDEX('Flow Curves'!$A$5:$A$11,$W190),$Y190,$Y190+($Z190-$Y190)*(MAX(10,MIN(150,$C190))-INDEX('Flow Curves'!$A$5:$A$11,$W190))/(INDEX('Flow Curves'!$A$5:$A$11,$X190)-INDEX('Flow Curves'!$A$5:$A$11,$W190))))</f>
        <v>0</v>
      </c>
      <c r="P190" s="20" t="n">
        <f aca="false">IF(OR($B190="Air",$B190="Open Blow"),$O190*60*Cost!$D$16*Cost!$D$17/Cost!$D$5*Cost!$D$13,0)</f>
        <v>0</v>
      </c>
      <c r="Q190" s="17"/>
      <c r="U190" s="16" t="str">
        <f aca="false">IF($D190="","",IF(ISNA(MATCH($B190,Cost!$H$5:$H$11,0)),"CHECK GAS TYPE",IF(OR($C190&lt;10,$C190&gt;150),"CHECK PRESSURE: outside 10-150 psi table",IF(OR($D190&lt;1,$D190&gt;120),"CHECK dB: outside 1-120 table",IF(ISNA(MATCH($C190,'Flow Curves'!$A$5:$A$11,0)),"INTERPOLATED between curves","Table curve")))))</f>
        <v/>
      </c>
      <c r="W190" s="2" t="str">
        <f aca="false">IF(OR($D190="",$C190=""),"",MATCH(MAX(10,MIN(150,$C190)),'Flow Curves'!$A$5:$A$11,1))</f>
        <v/>
      </c>
      <c r="X190" s="2" t="str">
        <f aca="false">IF($W190="","",MIN($W190+1,7))</f>
        <v/>
      </c>
      <c r="Y190" s="2" t="str">
        <f aca="false">IF($W190="","",INDEX('Flow Curves'!$B$5:$B$11,$W190)*POWER($D190,INDEX('Flow Curves'!$C$5:$C$11,$W190)))</f>
        <v/>
      </c>
      <c r="Z190" s="2" t="str">
        <f aca="false">IF($W190="","",INDEX('Flow Curves'!$B$5:$B$11,$X190)*POWER($D190,INDEX('Flow Curves'!$C$5:$C$11,$X190)))</f>
        <v/>
      </c>
    </row>
    <row r="191" customFormat="false" ht="15" hidden="false" customHeight="false" outlineLevel="0" collapsed="false">
      <c r="A191" s="16" t="n">
        <v>184</v>
      </c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8" t="n">
        <f aca="false">IF($O191=0,0,$O191*60*Cost!$D$16*Cost!$D$17*IFERROR(INDEX(Cost!$I$5:$I$11,MATCH($B191,Cost!$H$5:$H$11,0)),0)/Cost!$D$5)</f>
        <v>0</v>
      </c>
      <c r="O191" s="19" t="n">
        <f aca="false">IF($W191="",0,IF(INDEX('Flow Curves'!$A$5:$A$11,$X191)=INDEX('Flow Curves'!$A$5:$A$11,$W191),$Y191,$Y191+($Z191-$Y191)*(MAX(10,MIN(150,$C191))-INDEX('Flow Curves'!$A$5:$A$11,$W191))/(INDEX('Flow Curves'!$A$5:$A$11,$X191)-INDEX('Flow Curves'!$A$5:$A$11,$W191))))</f>
        <v>0</v>
      </c>
      <c r="P191" s="20" t="n">
        <f aca="false">IF(OR($B191="Air",$B191="Open Blow"),$O191*60*Cost!$D$16*Cost!$D$17/Cost!$D$5*Cost!$D$13,0)</f>
        <v>0</v>
      </c>
      <c r="Q191" s="17"/>
      <c r="U191" s="16" t="str">
        <f aca="false">IF($D191="","",IF(ISNA(MATCH($B191,Cost!$H$5:$H$11,0)),"CHECK GAS TYPE",IF(OR($C191&lt;10,$C191&gt;150),"CHECK PRESSURE: outside 10-150 psi table",IF(OR($D191&lt;1,$D191&gt;120),"CHECK dB: outside 1-120 table",IF(ISNA(MATCH($C191,'Flow Curves'!$A$5:$A$11,0)),"INTERPOLATED between curves","Table curve")))))</f>
        <v/>
      </c>
      <c r="W191" s="2" t="str">
        <f aca="false">IF(OR($D191="",$C191=""),"",MATCH(MAX(10,MIN(150,$C191)),'Flow Curves'!$A$5:$A$11,1))</f>
        <v/>
      </c>
      <c r="X191" s="2" t="str">
        <f aca="false">IF($W191="","",MIN($W191+1,7))</f>
        <v/>
      </c>
      <c r="Y191" s="2" t="str">
        <f aca="false">IF($W191="","",INDEX('Flow Curves'!$B$5:$B$11,$W191)*POWER($D191,INDEX('Flow Curves'!$C$5:$C$11,$W191)))</f>
        <v/>
      </c>
      <c r="Z191" s="2" t="str">
        <f aca="false">IF($W191="","",INDEX('Flow Curves'!$B$5:$B$11,$X191)*POWER($D191,INDEX('Flow Curves'!$C$5:$C$11,$X191)))</f>
        <v/>
      </c>
    </row>
    <row r="192" customFormat="false" ht="15" hidden="false" customHeight="false" outlineLevel="0" collapsed="false">
      <c r="A192" s="16" t="n">
        <v>185</v>
      </c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8" t="n">
        <f aca="false">IF($O192=0,0,$O192*60*Cost!$D$16*Cost!$D$17*IFERROR(INDEX(Cost!$I$5:$I$11,MATCH($B192,Cost!$H$5:$H$11,0)),0)/Cost!$D$5)</f>
        <v>0</v>
      </c>
      <c r="O192" s="19" t="n">
        <f aca="false">IF($W192="",0,IF(INDEX('Flow Curves'!$A$5:$A$11,$X192)=INDEX('Flow Curves'!$A$5:$A$11,$W192),$Y192,$Y192+($Z192-$Y192)*(MAX(10,MIN(150,$C192))-INDEX('Flow Curves'!$A$5:$A$11,$W192))/(INDEX('Flow Curves'!$A$5:$A$11,$X192)-INDEX('Flow Curves'!$A$5:$A$11,$W192))))</f>
        <v>0</v>
      </c>
      <c r="P192" s="20" t="n">
        <f aca="false">IF(OR($B192="Air",$B192="Open Blow"),$O192*60*Cost!$D$16*Cost!$D$17/Cost!$D$5*Cost!$D$13,0)</f>
        <v>0</v>
      </c>
      <c r="Q192" s="17"/>
      <c r="U192" s="16" t="str">
        <f aca="false">IF($D192="","",IF(ISNA(MATCH($B192,Cost!$H$5:$H$11,0)),"CHECK GAS TYPE",IF(OR($C192&lt;10,$C192&gt;150),"CHECK PRESSURE: outside 10-150 psi table",IF(OR($D192&lt;1,$D192&gt;120),"CHECK dB: outside 1-120 table",IF(ISNA(MATCH($C192,'Flow Curves'!$A$5:$A$11,0)),"INTERPOLATED between curves","Table curve")))))</f>
        <v/>
      </c>
      <c r="W192" s="2" t="str">
        <f aca="false">IF(OR($D192="",$C192=""),"",MATCH(MAX(10,MIN(150,$C192)),'Flow Curves'!$A$5:$A$11,1))</f>
        <v/>
      </c>
      <c r="X192" s="2" t="str">
        <f aca="false">IF($W192="","",MIN($W192+1,7))</f>
        <v/>
      </c>
      <c r="Y192" s="2" t="str">
        <f aca="false">IF($W192="","",INDEX('Flow Curves'!$B$5:$B$11,$W192)*POWER($D192,INDEX('Flow Curves'!$C$5:$C$11,$W192)))</f>
        <v/>
      </c>
      <c r="Z192" s="2" t="str">
        <f aca="false">IF($W192="","",INDEX('Flow Curves'!$B$5:$B$11,$X192)*POWER($D192,INDEX('Flow Curves'!$C$5:$C$11,$X192)))</f>
        <v/>
      </c>
    </row>
    <row r="193" customFormat="false" ht="15" hidden="false" customHeight="false" outlineLevel="0" collapsed="false">
      <c r="A193" s="16" t="n">
        <v>186</v>
      </c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8" t="n">
        <f aca="false">IF($O193=0,0,$O193*60*Cost!$D$16*Cost!$D$17*IFERROR(INDEX(Cost!$I$5:$I$11,MATCH($B193,Cost!$H$5:$H$11,0)),0)/Cost!$D$5)</f>
        <v>0</v>
      </c>
      <c r="O193" s="19" t="n">
        <f aca="false">IF($W193="",0,IF(INDEX('Flow Curves'!$A$5:$A$11,$X193)=INDEX('Flow Curves'!$A$5:$A$11,$W193),$Y193,$Y193+($Z193-$Y193)*(MAX(10,MIN(150,$C193))-INDEX('Flow Curves'!$A$5:$A$11,$W193))/(INDEX('Flow Curves'!$A$5:$A$11,$X193)-INDEX('Flow Curves'!$A$5:$A$11,$W193))))</f>
        <v>0</v>
      </c>
      <c r="P193" s="20" t="n">
        <f aca="false">IF(OR($B193="Air",$B193="Open Blow"),$O193*60*Cost!$D$16*Cost!$D$17/Cost!$D$5*Cost!$D$13,0)</f>
        <v>0</v>
      </c>
      <c r="Q193" s="17"/>
      <c r="U193" s="16" t="str">
        <f aca="false">IF($D193="","",IF(ISNA(MATCH($B193,Cost!$H$5:$H$11,0)),"CHECK GAS TYPE",IF(OR($C193&lt;10,$C193&gt;150),"CHECK PRESSURE: outside 10-150 psi table",IF(OR($D193&lt;1,$D193&gt;120),"CHECK dB: outside 1-120 table",IF(ISNA(MATCH($C193,'Flow Curves'!$A$5:$A$11,0)),"INTERPOLATED between curves","Table curve")))))</f>
        <v/>
      </c>
      <c r="W193" s="2" t="str">
        <f aca="false">IF(OR($D193="",$C193=""),"",MATCH(MAX(10,MIN(150,$C193)),'Flow Curves'!$A$5:$A$11,1))</f>
        <v/>
      </c>
      <c r="X193" s="2" t="str">
        <f aca="false">IF($W193="","",MIN($W193+1,7))</f>
        <v/>
      </c>
      <c r="Y193" s="2" t="str">
        <f aca="false">IF($W193="","",INDEX('Flow Curves'!$B$5:$B$11,$W193)*POWER($D193,INDEX('Flow Curves'!$C$5:$C$11,$W193)))</f>
        <v/>
      </c>
      <c r="Z193" s="2" t="str">
        <f aca="false">IF($W193="","",INDEX('Flow Curves'!$B$5:$B$11,$X193)*POWER($D193,INDEX('Flow Curves'!$C$5:$C$11,$X193)))</f>
        <v/>
      </c>
    </row>
    <row r="194" customFormat="false" ht="15" hidden="false" customHeight="false" outlineLevel="0" collapsed="false">
      <c r="A194" s="16" t="n">
        <v>187</v>
      </c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8" t="n">
        <f aca="false">IF($O194=0,0,$O194*60*Cost!$D$16*Cost!$D$17*IFERROR(INDEX(Cost!$I$5:$I$11,MATCH($B194,Cost!$H$5:$H$11,0)),0)/Cost!$D$5)</f>
        <v>0</v>
      </c>
      <c r="O194" s="19" t="n">
        <f aca="false">IF($W194="",0,IF(INDEX('Flow Curves'!$A$5:$A$11,$X194)=INDEX('Flow Curves'!$A$5:$A$11,$W194),$Y194,$Y194+($Z194-$Y194)*(MAX(10,MIN(150,$C194))-INDEX('Flow Curves'!$A$5:$A$11,$W194))/(INDEX('Flow Curves'!$A$5:$A$11,$X194)-INDEX('Flow Curves'!$A$5:$A$11,$W194))))</f>
        <v>0</v>
      </c>
      <c r="P194" s="20" t="n">
        <f aca="false">IF(OR($B194="Air",$B194="Open Blow"),$O194*60*Cost!$D$16*Cost!$D$17/Cost!$D$5*Cost!$D$13,0)</f>
        <v>0</v>
      </c>
      <c r="Q194" s="17"/>
      <c r="U194" s="16" t="str">
        <f aca="false">IF($D194="","",IF(ISNA(MATCH($B194,Cost!$H$5:$H$11,0)),"CHECK GAS TYPE",IF(OR($C194&lt;10,$C194&gt;150),"CHECK PRESSURE: outside 10-150 psi table",IF(OR($D194&lt;1,$D194&gt;120),"CHECK dB: outside 1-120 table",IF(ISNA(MATCH($C194,'Flow Curves'!$A$5:$A$11,0)),"INTERPOLATED between curves","Table curve")))))</f>
        <v/>
      </c>
      <c r="W194" s="2" t="str">
        <f aca="false">IF(OR($D194="",$C194=""),"",MATCH(MAX(10,MIN(150,$C194)),'Flow Curves'!$A$5:$A$11,1))</f>
        <v/>
      </c>
      <c r="X194" s="2" t="str">
        <f aca="false">IF($W194="","",MIN($W194+1,7))</f>
        <v/>
      </c>
      <c r="Y194" s="2" t="str">
        <f aca="false">IF($W194="","",INDEX('Flow Curves'!$B$5:$B$11,$W194)*POWER($D194,INDEX('Flow Curves'!$C$5:$C$11,$W194)))</f>
        <v/>
      </c>
      <c r="Z194" s="2" t="str">
        <f aca="false">IF($W194="","",INDEX('Flow Curves'!$B$5:$B$11,$X194)*POWER($D194,INDEX('Flow Curves'!$C$5:$C$11,$X194)))</f>
        <v/>
      </c>
    </row>
    <row r="195" customFormat="false" ht="15" hidden="false" customHeight="false" outlineLevel="0" collapsed="false">
      <c r="A195" s="16" t="n">
        <v>188</v>
      </c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8" t="n">
        <f aca="false">IF($O195=0,0,$O195*60*Cost!$D$16*Cost!$D$17*IFERROR(INDEX(Cost!$I$5:$I$11,MATCH($B195,Cost!$H$5:$H$11,0)),0)/Cost!$D$5)</f>
        <v>0</v>
      </c>
      <c r="O195" s="19" t="n">
        <f aca="false">IF($W195="",0,IF(INDEX('Flow Curves'!$A$5:$A$11,$X195)=INDEX('Flow Curves'!$A$5:$A$11,$W195),$Y195,$Y195+($Z195-$Y195)*(MAX(10,MIN(150,$C195))-INDEX('Flow Curves'!$A$5:$A$11,$W195))/(INDEX('Flow Curves'!$A$5:$A$11,$X195)-INDEX('Flow Curves'!$A$5:$A$11,$W195))))</f>
        <v>0</v>
      </c>
      <c r="P195" s="20" t="n">
        <f aca="false">IF(OR($B195="Air",$B195="Open Blow"),$O195*60*Cost!$D$16*Cost!$D$17/Cost!$D$5*Cost!$D$13,0)</f>
        <v>0</v>
      </c>
      <c r="Q195" s="17"/>
      <c r="U195" s="16" t="str">
        <f aca="false">IF($D195="","",IF(ISNA(MATCH($B195,Cost!$H$5:$H$11,0)),"CHECK GAS TYPE",IF(OR($C195&lt;10,$C195&gt;150),"CHECK PRESSURE: outside 10-150 psi table",IF(OR($D195&lt;1,$D195&gt;120),"CHECK dB: outside 1-120 table",IF(ISNA(MATCH($C195,'Flow Curves'!$A$5:$A$11,0)),"INTERPOLATED between curves","Table curve")))))</f>
        <v/>
      </c>
      <c r="W195" s="2" t="str">
        <f aca="false">IF(OR($D195="",$C195=""),"",MATCH(MAX(10,MIN(150,$C195)),'Flow Curves'!$A$5:$A$11,1))</f>
        <v/>
      </c>
      <c r="X195" s="2" t="str">
        <f aca="false">IF($W195="","",MIN($W195+1,7))</f>
        <v/>
      </c>
      <c r="Y195" s="2" t="str">
        <f aca="false">IF($W195="","",INDEX('Flow Curves'!$B$5:$B$11,$W195)*POWER($D195,INDEX('Flow Curves'!$C$5:$C$11,$W195)))</f>
        <v/>
      </c>
      <c r="Z195" s="2" t="str">
        <f aca="false">IF($W195="","",INDEX('Flow Curves'!$B$5:$B$11,$X195)*POWER($D195,INDEX('Flow Curves'!$C$5:$C$11,$X195)))</f>
        <v/>
      </c>
    </row>
    <row r="196" customFormat="false" ht="15" hidden="false" customHeight="false" outlineLevel="0" collapsed="false">
      <c r="A196" s="16" t="n">
        <v>189</v>
      </c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8" t="n">
        <f aca="false">IF($O196=0,0,$O196*60*Cost!$D$16*Cost!$D$17*IFERROR(INDEX(Cost!$I$5:$I$11,MATCH($B196,Cost!$H$5:$H$11,0)),0)/Cost!$D$5)</f>
        <v>0</v>
      </c>
      <c r="O196" s="19" t="n">
        <f aca="false">IF($W196="",0,IF(INDEX('Flow Curves'!$A$5:$A$11,$X196)=INDEX('Flow Curves'!$A$5:$A$11,$W196),$Y196,$Y196+($Z196-$Y196)*(MAX(10,MIN(150,$C196))-INDEX('Flow Curves'!$A$5:$A$11,$W196))/(INDEX('Flow Curves'!$A$5:$A$11,$X196)-INDEX('Flow Curves'!$A$5:$A$11,$W196))))</f>
        <v>0</v>
      </c>
      <c r="P196" s="20" t="n">
        <f aca="false">IF(OR($B196="Air",$B196="Open Blow"),$O196*60*Cost!$D$16*Cost!$D$17/Cost!$D$5*Cost!$D$13,0)</f>
        <v>0</v>
      </c>
      <c r="Q196" s="17"/>
      <c r="U196" s="16" t="str">
        <f aca="false">IF($D196="","",IF(ISNA(MATCH($B196,Cost!$H$5:$H$11,0)),"CHECK GAS TYPE",IF(OR($C196&lt;10,$C196&gt;150),"CHECK PRESSURE: outside 10-150 psi table",IF(OR($D196&lt;1,$D196&gt;120),"CHECK dB: outside 1-120 table",IF(ISNA(MATCH($C196,'Flow Curves'!$A$5:$A$11,0)),"INTERPOLATED between curves","Table curve")))))</f>
        <v/>
      </c>
      <c r="W196" s="2" t="str">
        <f aca="false">IF(OR($D196="",$C196=""),"",MATCH(MAX(10,MIN(150,$C196)),'Flow Curves'!$A$5:$A$11,1))</f>
        <v/>
      </c>
      <c r="X196" s="2" t="str">
        <f aca="false">IF($W196="","",MIN($W196+1,7))</f>
        <v/>
      </c>
      <c r="Y196" s="2" t="str">
        <f aca="false">IF($W196="","",INDEX('Flow Curves'!$B$5:$B$11,$W196)*POWER($D196,INDEX('Flow Curves'!$C$5:$C$11,$W196)))</f>
        <v/>
      </c>
      <c r="Z196" s="2" t="str">
        <f aca="false">IF($W196="","",INDEX('Flow Curves'!$B$5:$B$11,$X196)*POWER($D196,INDEX('Flow Curves'!$C$5:$C$11,$X196)))</f>
        <v/>
      </c>
    </row>
    <row r="197" customFormat="false" ht="15" hidden="false" customHeight="false" outlineLevel="0" collapsed="false">
      <c r="A197" s="16" t="n">
        <v>190</v>
      </c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8" t="n">
        <f aca="false">IF($O197=0,0,$O197*60*Cost!$D$16*Cost!$D$17*IFERROR(INDEX(Cost!$I$5:$I$11,MATCH($B197,Cost!$H$5:$H$11,0)),0)/Cost!$D$5)</f>
        <v>0</v>
      </c>
      <c r="O197" s="19" t="n">
        <f aca="false">IF($W197="",0,IF(INDEX('Flow Curves'!$A$5:$A$11,$X197)=INDEX('Flow Curves'!$A$5:$A$11,$W197),$Y197,$Y197+($Z197-$Y197)*(MAX(10,MIN(150,$C197))-INDEX('Flow Curves'!$A$5:$A$11,$W197))/(INDEX('Flow Curves'!$A$5:$A$11,$X197)-INDEX('Flow Curves'!$A$5:$A$11,$W197))))</f>
        <v>0</v>
      </c>
      <c r="P197" s="20" t="n">
        <f aca="false">IF(OR($B197="Air",$B197="Open Blow"),$O197*60*Cost!$D$16*Cost!$D$17/Cost!$D$5*Cost!$D$13,0)</f>
        <v>0</v>
      </c>
      <c r="Q197" s="17"/>
      <c r="U197" s="16" t="str">
        <f aca="false">IF($D197="","",IF(ISNA(MATCH($B197,Cost!$H$5:$H$11,0)),"CHECK GAS TYPE",IF(OR($C197&lt;10,$C197&gt;150),"CHECK PRESSURE: outside 10-150 psi table",IF(OR($D197&lt;1,$D197&gt;120),"CHECK dB: outside 1-120 table",IF(ISNA(MATCH($C197,'Flow Curves'!$A$5:$A$11,0)),"INTERPOLATED between curves","Table curve")))))</f>
        <v/>
      </c>
      <c r="W197" s="2" t="str">
        <f aca="false">IF(OR($D197="",$C197=""),"",MATCH(MAX(10,MIN(150,$C197)),'Flow Curves'!$A$5:$A$11,1))</f>
        <v/>
      </c>
      <c r="X197" s="2" t="str">
        <f aca="false">IF($W197="","",MIN($W197+1,7))</f>
        <v/>
      </c>
      <c r="Y197" s="2" t="str">
        <f aca="false">IF($W197="","",INDEX('Flow Curves'!$B$5:$B$11,$W197)*POWER($D197,INDEX('Flow Curves'!$C$5:$C$11,$W197)))</f>
        <v/>
      </c>
      <c r="Z197" s="2" t="str">
        <f aca="false">IF($W197="","",INDEX('Flow Curves'!$B$5:$B$11,$X197)*POWER($D197,INDEX('Flow Curves'!$C$5:$C$11,$X197)))</f>
        <v/>
      </c>
    </row>
    <row r="198" customFormat="false" ht="15" hidden="false" customHeight="false" outlineLevel="0" collapsed="false">
      <c r="A198" s="16" t="n">
        <v>191</v>
      </c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8" t="n">
        <f aca="false">IF($O198=0,0,$O198*60*Cost!$D$16*Cost!$D$17*IFERROR(INDEX(Cost!$I$5:$I$11,MATCH($B198,Cost!$H$5:$H$11,0)),0)/Cost!$D$5)</f>
        <v>0</v>
      </c>
      <c r="O198" s="19" t="n">
        <f aca="false">IF($W198="",0,IF(INDEX('Flow Curves'!$A$5:$A$11,$X198)=INDEX('Flow Curves'!$A$5:$A$11,$W198),$Y198,$Y198+($Z198-$Y198)*(MAX(10,MIN(150,$C198))-INDEX('Flow Curves'!$A$5:$A$11,$W198))/(INDEX('Flow Curves'!$A$5:$A$11,$X198)-INDEX('Flow Curves'!$A$5:$A$11,$W198))))</f>
        <v>0</v>
      </c>
      <c r="P198" s="20" t="n">
        <f aca="false">IF(OR($B198="Air",$B198="Open Blow"),$O198*60*Cost!$D$16*Cost!$D$17/Cost!$D$5*Cost!$D$13,0)</f>
        <v>0</v>
      </c>
      <c r="Q198" s="17"/>
      <c r="U198" s="16" t="str">
        <f aca="false">IF($D198="","",IF(ISNA(MATCH($B198,Cost!$H$5:$H$11,0)),"CHECK GAS TYPE",IF(OR($C198&lt;10,$C198&gt;150),"CHECK PRESSURE: outside 10-150 psi table",IF(OR($D198&lt;1,$D198&gt;120),"CHECK dB: outside 1-120 table",IF(ISNA(MATCH($C198,'Flow Curves'!$A$5:$A$11,0)),"INTERPOLATED between curves","Table curve")))))</f>
        <v/>
      </c>
      <c r="W198" s="2" t="str">
        <f aca="false">IF(OR($D198="",$C198=""),"",MATCH(MAX(10,MIN(150,$C198)),'Flow Curves'!$A$5:$A$11,1))</f>
        <v/>
      </c>
      <c r="X198" s="2" t="str">
        <f aca="false">IF($W198="","",MIN($W198+1,7))</f>
        <v/>
      </c>
      <c r="Y198" s="2" t="str">
        <f aca="false">IF($W198="","",INDEX('Flow Curves'!$B$5:$B$11,$W198)*POWER($D198,INDEX('Flow Curves'!$C$5:$C$11,$W198)))</f>
        <v/>
      </c>
      <c r="Z198" s="2" t="str">
        <f aca="false">IF($W198="","",INDEX('Flow Curves'!$B$5:$B$11,$X198)*POWER($D198,INDEX('Flow Curves'!$C$5:$C$11,$X198)))</f>
        <v/>
      </c>
    </row>
    <row r="199" customFormat="false" ht="15" hidden="false" customHeight="false" outlineLevel="0" collapsed="false">
      <c r="A199" s="16" t="n">
        <v>192</v>
      </c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8" t="n">
        <f aca="false">IF($O199=0,0,$O199*60*Cost!$D$16*Cost!$D$17*IFERROR(INDEX(Cost!$I$5:$I$11,MATCH($B199,Cost!$H$5:$H$11,0)),0)/Cost!$D$5)</f>
        <v>0</v>
      </c>
      <c r="O199" s="19" t="n">
        <f aca="false">IF($W199="",0,IF(INDEX('Flow Curves'!$A$5:$A$11,$X199)=INDEX('Flow Curves'!$A$5:$A$11,$W199),$Y199,$Y199+($Z199-$Y199)*(MAX(10,MIN(150,$C199))-INDEX('Flow Curves'!$A$5:$A$11,$W199))/(INDEX('Flow Curves'!$A$5:$A$11,$X199)-INDEX('Flow Curves'!$A$5:$A$11,$W199))))</f>
        <v>0</v>
      </c>
      <c r="P199" s="20" t="n">
        <f aca="false">IF(OR($B199="Air",$B199="Open Blow"),$O199*60*Cost!$D$16*Cost!$D$17/Cost!$D$5*Cost!$D$13,0)</f>
        <v>0</v>
      </c>
      <c r="Q199" s="17"/>
      <c r="U199" s="16" t="str">
        <f aca="false">IF($D199="","",IF(ISNA(MATCH($B199,Cost!$H$5:$H$11,0)),"CHECK GAS TYPE",IF(OR($C199&lt;10,$C199&gt;150),"CHECK PRESSURE: outside 10-150 psi table",IF(OR($D199&lt;1,$D199&gt;120),"CHECK dB: outside 1-120 table",IF(ISNA(MATCH($C199,'Flow Curves'!$A$5:$A$11,0)),"INTERPOLATED between curves","Table curve")))))</f>
        <v/>
      </c>
      <c r="W199" s="2" t="str">
        <f aca="false">IF(OR($D199="",$C199=""),"",MATCH(MAX(10,MIN(150,$C199)),'Flow Curves'!$A$5:$A$11,1))</f>
        <v/>
      </c>
      <c r="X199" s="2" t="str">
        <f aca="false">IF($W199="","",MIN($W199+1,7))</f>
        <v/>
      </c>
      <c r="Y199" s="2" t="str">
        <f aca="false">IF($W199="","",INDEX('Flow Curves'!$B$5:$B$11,$W199)*POWER($D199,INDEX('Flow Curves'!$C$5:$C$11,$W199)))</f>
        <v/>
      </c>
      <c r="Z199" s="2" t="str">
        <f aca="false">IF($W199="","",INDEX('Flow Curves'!$B$5:$B$11,$X199)*POWER($D199,INDEX('Flow Curves'!$C$5:$C$11,$X199)))</f>
        <v/>
      </c>
    </row>
    <row r="200" customFormat="false" ht="15" hidden="false" customHeight="false" outlineLevel="0" collapsed="false">
      <c r="A200" s="16" t="n">
        <v>193</v>
      </c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8" t="n">
        <f aca="false">IF($O200=0,0,$O200*60*Cost!$D$16*Cost!$D$17*IFERROR(INDEX(Cost!$I$5:$I$11,MATCH($B200,Cost!$H$5:$H$11,0)),0)/Cost!$D$5)</f>
        <v>0</v>
      </c>
      <c r="O200" s="19" t="n">
        <f aca="false">IF($W200="",0,IF(INDEX('Flow Curves'!$A$5:$A$11,$X200)=INDEX('Flow Curves'!$A$5:$A$11,$W200),$Y200,$Y200+($Z200-$Y200)*(MAX(10,MIN(150,$C200))-INDEX('Flow Curves'!$A$5:$A$11,$W200))/(INDEX('Flow Curves'!$A$5:$A$11,$X200)-INDEX('Flow Curves'!$A$5:$A$11,$W200))))</f>
        <v>0</v>
      </c>
      <c r="P200" s="20" t="n">
        <f aca="false">IF(OR($B200="Air",$B200="Open Blow"),$O200*60*Cost!$D$16*Cost!$D$17/Cost!$D$5*Cost!$D$13,0)</f>
        <v>0</v>
      </c>
      <c r="Q200" s="17"/>
      <c r="U200" s="16" t="str">
        <f aca="false">IF($D200="","",IF(ISNA(MATCH($B200,Cost!$H$5:$H$11,0)),"CHECK GAS TYPE",IF(OR($C200&lt;10,$C200&gt;150),"CHECK PRESSURE: outside 10-150 psi table",IF(OR($D200&lt;1,$D200&gt;120),"CHECK dB: outside 1-120 table",IF(ISNA(MATCH($C200,'Flow Curves'!$A$5:$A$11,0)),"INTERPOLATED between curves","Table curve")))))</f>
        <v/>
      </c>
      <c r="W200" s="2" t="str">
        <f aca="false">IF(OR($D200="",$C200=""),"",MATCH(MAX(10,MIN(150,$C200)),'Flow Curves'!$A$5:$A$11,1))</f>
        <v/>
      </c>
      <c r="X200" s="2" t="str">
        <f aca="false">IF($W200="","",MIN($W200+1,7))</f>
        <v/>
      </c>
      <c r="Y200" s="2" t="str">
        <f aca="false">IF($W200="","",INDEX('Flow Curves'!$B$5:$B$11,$W200)*POWER($D200,INDEX('Flow Curves'!$C$5:$C$11,$W200)))</f>
        <v/>
      </c>
      <c r="Z200" s="2" t="str">
        <f aca="false">IF($W200="","",INDEX('Flow Curves'!$B$5:$B$11,$X200)*POWER($D200,INDEX('Flow Curves'!$C$5:$C$11,$X200)))</f>
        <v/>
      </c>
    </row>
    <row r="201" customFormat="false" ht="15" hidden="false" customHeight="false" outlineLevel="0" collapsed="false">
      <c r="A201" s="16" t="n">
        <v>194</v>
      </c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8" t="n">
        <f aca="false">IF($O201=0,0,$O201*60*Cost!$D$16*Cost!$D$17*IFERROR(INDEX(Cost!$I$5:$I$11,MATCH($B201,Cost!$H$5:$H$11,0)),0)/Cost!$D$5)</f>
        <v>0</v>
      </c>
      <c r="O201" s="19" t="n">
        <f aca="false">IF($W201="",0,IF(INDEX('Flow Curves'!$A$5:$A$11,$X201)=INDEX('Flow Curves'!$A$5:$A$11,$W201),$Y201,$Y201+($Z201-$Y201)*(MAX(10,MIN(150,$C201))-INDEX('Flow Curves'!$A$5:$A$11,$W201))/(INDEX('Flow Curves'!$A$5:$A$11,$X201)-INDEX('Flow Curves'!$A$5:$A$11,$W201))))</f>
        <v>0</v>
      </c>
      <c r="P201" s="20" t="n">
        <f aca="false">IF(OR($B201="Air",$B201="Open Blow"),$O201*60*Cost!$D$16*Cost!$D$17/Cost!$D$5*Cost!$D$13,0)</f>
        <v>0</v>
      </c>
      <c r="Q201" s="17"/>
      <c r="U201" s="16" t="str">
        <f aca="false">IF($D201="","",IF(ISNA(MATCH($B201,Cost!$H$5:$H$11,0)),"CHECK GAS TYPE",IF(OR($C201&lt;10,$C201&gt;150),"CHECK PRESSURE: outside 10-150 psi table",IF(OR($D201&lt;1,$D201&gt;120),"CHECK dB: outside 1-120 table",IF(ISNA(MATCH($C201,'Flow Curves'!$A$5:$A$11,0)),"INTERPOLATED between curves","Table curve")))))</f>
        <v/>
      </c>
      <c r="W201" s="2" t="str">
        <f aca="false">IF(OR($D201="",$C201=""),"",MATCH(MAX(10,MIN(150,$C201)),'Flow Curves'!$A$5:$A$11,1))</f>
        <v/>
      </c>
      <c r="X201" s="2" t="str">
        <f aca="false">IF($W201="","",MIN($W201+1,7))</f>
        <v/>
      </c>
      <c r="Y201" s="2" t="str">
        <f aca="false">IF($W201="","",INDEX('Flow Curves'!$B$5:$B$11,$W201)*POWER($D201,INDEX('Flow Curves'!$C$5:$C$11,$W201)))</f>
        <v/>
      </c>
      <c r="Z201" s="2" t="str">
        <f aca="false">IF($W201="","",INDEX('Flow Curves'!$B$5:$B$11,$X201)*POWER($D201,INDEX('Flow Curves'!$C$5:$C$11,$X201)))</f>
        <v/>
      </c>
    </row>
    <row r="202" customFormat="false" ht="15" hidden="false" customHeight="false" outlineLevel="0" collapsed="false">
      <c r="A202" s="16" t="n">
        <v>195</v>
      </c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8" t="n">
        <f aca="false">IF($O202=0,0,$O202*60*Cost!$D$16*Cost!$D$17*IFERROR(INDEX(Cost!$I$5:$I$11,MATCH($B202,Cost!$H$5:$H$11,0)),0)/Cost!$D$5)</f>
        <v>0</v>
      </c>
      <c r="O202" s="19" t="n">
        <f aca="false">IF($W202="",0,IF(INDEX('Flow Curves'!$A$5:$A$11,$X202)=INDEX('Flow Curves'!$A$5:$A$11,$W202),$Y202,$Y202+($Z202-$Y202)*(MAX(10,MIN(150,$C202))-INDEX('Flow Curves'!$A$5:$A$11,$W202))/(INDEX('Flow Curves'!$A$5:$A$11,$X202)-INDEX('Flow Curves'!$A$5:$A$11,$W202))))</f>
        <v>0</v>
      </c>
      <c r="P202" s="20" t="n">
        <f aca="false">IF(OR($B202="Air",$B202="Open Blow"),$O202*60*Cost!$D$16*Cost!$D$17/Cost!$D$5*Cost!$D$13,0)</f>
        <v>0</v>
      </c>
      <c r="Q202" s="17"/>
      <c r="U202" s="16" t="str">
        <f aca="false">IF($D202="","",IF(ISNA(MATCH($B202,Cost!$H$5:$H$11,0)),"CHECK GAS TYPE",IF(OR($C202&lt;10,$C202&gt;150),"CHECK PRESSURE: outside 10-150 psi table",IF(OR($D202&lt;1,$D202&gt;120),"CHECK dB: outside 1-120 table",IF(ISNA(MATCH($C202,'Flow Curves'!$A$5:$A$11,0)),"INTERPOLATED between curves","Table curve")))))</f>
        <v/>
      </c>
      <c r="W202" s="2" t="str">
        <f aca="false">IF(OR($D202="",$C202=""),"",MATCH(MAX(10,MIN(150,$C202)),'Flow Curves'!$A$5:$A$11,1))</f>
        <v/>
      </c>
      <c r="X202" s="2" t="str">
        <f aca="false">IF($W202="","",MIN($W202+1,7))</f>
        <v/>
      </c>
      <c r="Y202" s="2" t="str">
        <f aca="false">IF($W202="","",INDEX('Flow Curves'!$B$5:$B$11,$W202)*POWER($D202,INDEX('Flow Curves'!$C$5:$C$11,$W202)))</f>
        <v/>
      </c>
      <c r="Z202" s="2" t="str">
        <f aca="false">IF($W202="","",INDEX('Flow Curves'!$B$5:$B$11,$X202)*POWER($D202,INDEX('Flow Curves'!$C$5:$C$11,$X202)))</f>
        <v/>
      </c>
    </row>
    <row r="203" customFormat="false" ht="15" hidden="false" customHeight="false" outlineLevel="0" collapsed="false">
      <c r="A203" s="16" t="n">
        <v>196</v>
      </c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8" t="n">
        <f aca="false">IF($O203=0,0,$O203*60*Cost!$D$16*Cost!$D$17*IFERROR(INDEX(Cost!$I$5:$I$11,MATCH($B203,Cost!$H$5:$H$11,0)),0)/Cost!$D$5)</f>
        <v>0</v>
      </c>
      <c r="O203" s="19" t="n">
        <f aca="false">IF($W203="",0,IF(INDEX('Flow Curves'!$A$5:$A$11,$X203)=INDEX('Flow Curves'!$A$5:$A$11,$W203),$Y203,$Y203+($Z203-$Y203)*(MAX(10,MIN(150,$C203))-INDEX('Flow Curves'!$A$5:$A$11,$W203))/(INDEX('Flow Curves'!$A$5:$A$11,$X203)-INDEX('Flow Curves'!$A$5:$A$11,$W203))))</f>
        <v>0</v>
      </c>
      <c r="P203" s="20" t="n">
        <f aca="false">IF(OR($B203="Air",$B203="Open Blow"),$O203*60*Cost!$D$16*Cost!$D$17/Cost!$D$5*Cost!$D$13,0)</f>
        <v>0</v>
      </c>
      <c r="Q203" s="17"/>
      <c r="U203" s="16" t="str">
        <f aca="false">IF($D203="","",IF(ISNA(MATCH($B203,Cost!$H$5:$H$11,0)),"CHECK GAS TYPE",IF(OR($C203&lt;10,$C203&gt;150),"CHECK PRESSURE: outside 10-150 psi table",IF(OR($D203&lt;1,$D203&gt;120),"CHECK dB: outside 1-120 table",IF(ISNA(MATCH($C203,'Flow Curves'!$A$5:$A$11,0)),"INTERPOLATED between curves","Table curve")))))</f>
        <v/>
      </c>
      <c r="W203" s="2" t="str">
        <f aca="false">IF(OR($D203="",$C203=""),"",MATCH(MAX(10,MIN(150,$C203)),'Flow Curves'!$A$5:$A$11,1))</f>
        <v/>
      </c>
      <c r="X203" s="2" t="str">
        <f aca="false">IF($W203="","",MIN($W203+1,7))</f>
        <v/>
      </c>
      <c r="Y203" s="2" t="str">
        <f aca="false">IF($W203="","",INDEX('Flow Curves'!$B$5:$B$11,$W203)*POWER($D203,INDEX('Flow Curves'!$C$5:$C$11,$W203)))</f>
        <v/>
      </c>
      <c r="Z203" s="2" t="str">
        <f aca="false">IF($W203="","",INDEX('Flow Curves'!$B$5:$B$11,$X203)*POWER($D203,INDEX('Flow Curves'!$C$5:$C$11,$X203)))</f>
        <v/>
      </c>
    </row>
    <row r="204" customFormat="false" ht="15" hidden="false" customHeight="false" outlineLevel="0" collapsed="false">
      <c r="A204" s="16" t="n">
        <v>197</v>
      </c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8" t="n">
        <f aca="false">IF($O204=0,0,$O204*60*Cost!$D$16*Cost!$D$17*IFERROR(INDEX(Cost!$I$5:$I$11,MATCH($B204,Cost!$H$5:$H$11,0)),0)/Cost!$D$5)</f>
        <v>0</v>
      </c>
      <c r="O204" s="19" t="n">
        <f aca="false">IF($W204="",0,IF(INDEX('Flow Curves'!$A$5:$A$11,$X204)=INDEX('Flow Curves'!$A$5:$A$11,$W204),$Y204,$Y204+($Z204-$Y204)*(MAX(10,MIN(150,$C204))-INDEX('Flow Curves'!$A$5:$A$11,$W204))/(INDEX('Flow Curves'!$A$5:$A$11,$X204)-INDEX('Flow Curves'!$A$5:$A$11,$W204))))</f>
        <v>0</v>
      </c>
      <c r="P204" s="20" t="n">
        <f aca="false">IF(OR($B204="Air",$B204="Open Blow"),$O204*60*Cost!$D$16*Cost!$D$17/Cost!$D$5*Cost!$D$13,0)</f>
        <v>0</v>
      </c>
      <c r="Q204" s="17"/>
      <c r="U204" s="16" t="str">
        <f aca="false">IF($D204="","",IF(ISNA(MATCH($B204,Cost!$H$5:$H$11,0)),"CHECK GAS TYPE",IF(OR($C204&lt;10,$C204&gt;150),"CHECK PRESSURE: outside 10-150 psi table",IF(OR($D204&lt;1,$D204&gt;120),"CHECK dB: outside 1-120 table",IF(ISNA(MATCH($C204,'Flow Curves'!$A$5:$A$11,0)),"INTERPOLATED between curves","Table curve")))))</f>
        <v/>
      </c>
      <c r="W204" s="2" t="str">
        <f aca="false">IF(OR($D204="",$C204=""),"",MATCH(MAX(10,MIN(150,$C204)),'Flow Curves'!$A$5:$A$11,1))</f>
        <v/>
      </c>
      <c r="X204" s="2" t="str">
        <f aca="false">IF($W204="","",MIN($W204+1,7))</f>
        <v/>
      </c>
      <c r="Y204" s="2" t="str">
        <f aca="false">IF($W204="","",INDEX('Flow Curves'!$B$5:$B$11,$W204)*POWER($D204,INDEX('Flow Curves'!$C$5:$C$11,$W204)))</f>
        <v/>
      </c>
      <c r="Z204" s="2" t="str">
        <f aca="false">IF($W204="","",INDEX('Flow Curves'!$B$5:$B$11,$X204)*POWER($D204,INDEX('Flow Curves'!$C$5:$C$11,$X204)))</f>
        <v/>
      </c>
    </row>
    <row r="205" customFormat="false" ht="15" hidden="false" customHeight="false" outlineLevel="0" collapsed="false">
      <c r="A205" s="16" t="n">
        <v>198</v>
      </c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8" t="n">
        <f aca="false">IF($O205=0,0,$O205*60*Cost!$D$16*Cost!$D$17*IFERROR(INDEX(Cost!$I$5:$I$11,MATCH($B205,Cost!$H$5:$H$11,0)),0)/Cost!$D$5)</f>
        <v>0</v>
      </c>
      <c r="O205" s="19" t="n">
        <f aca="false">IF($W205="",0,IF(INDEX('Flow Curves'!$A$5:$A$11,$X205)=INDEX('Flow Curves'!$A$5:$A$11,$W205),$Y205,$Y205+($Z205-$Y205)*(MAX(10,MIN(150,$C205))-INDEX('Flow Curves'!$A$5:$A$11,$W205))/(INDEX('Flow Curves'!$A$5:$A$11,$X205)-INDEX('Flow Curves'!$A$5:$A$11,$W205))))</f>
        <v>0</v>
      </c>
      <c r="P205" s="20" t="n">
        <f aca="false">IF(OR($B205="Air",$B205="Open Blow"),$O205*60*Cost!$D$16*Cost!$D$17/Cost!$D$5*Cost!$D$13,0)</f>
        <v>0</v>
      </c>
      <c r="Q205" s="17"/>
      <c r="U205" s="16" t="str">
        <f aca="false">IF($D205="","",IF(ISNA(MATCH($B205,Cost!$H$5:$H$11,0)),"CHECK GAS TYPE",IF(OR($C205&lt;10,$C205&gt;150),"CHECK PRESSURE: outside 10-150 psi table",IF(OR($D205&lt;1,$D205&gt;120),"CHECK dB: outside 1-120 table",IF(ISNA(MATCH($C205,'Flow Curves'!$A$5:$A$11,0)),"INTERPOLATED between curves","Table curve")))))</f>
        <v/>
      </c>
      <c r="W205" s="2" t="str">
        <f aca="false">IF(OR($D205="",$C205=""),"",MATCH(MAX(10,MIN(150,$C205)),'Flow Curves'!$A$5:$A$11,1))</f>
        <v/>
      </c>
      <c r="X205" s="2" t="str">
        <f aca="false">IF($W205="","",MIN($W205+1,7))</f>
        <v/>
      </c>
      <c r="Y205" s="2" t="str">
        <f aca="false">IF($W205="","",INDEX('Flow Curves'!$B$5:$B$11,$W205)*POWER($D205,INDEX('Flow Curves'!$C$5:$C$11,$W205)))</f>
        <v/>
      </c>
      <c r="Z205" s="2" t="str">
        <f aca="false">IF($W205="","",INDEX('Flow Curves'!$B$5:$B$11,$X205)*POWER($D205,INDEX('Flow Curves'!$C$5:$C$11,$X205)))</f>
        <v/>
      </c>
    </row>
    <row r="206" customFormat="false" ht="15" hidden="false" customHeight="false" outlineLevel="0" collapsed="false">
      <c r="A206" s="16" t="n">
        <v>199</v>
      </c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8" t="n">
        <f aca="false">IF($O206=0,0,$O206*60*Cost!$D$16*Cost!$D$17*IFERROR(INDEX(Cost!$I$5:$I$11,MATCH($B206,Cost!$H$5:$H$11,0)),0)/Cost!$D$5)</f>
        <v>0</v>
      </c>
      <c r="O206" s="19" t="n">
        <f aca="false">IF($W206="",0,IF(INDEX('Flow Curves'!$A$5:$A$11,$X206)=INDEX('Flow Curves'!$A$5:$A$11,$W206),$Y206,$Y206+($Z206-$Y206)*(MAX(10,MIN(150,$C206))-INDEX('Flow Curves'!$A$5:$A$11,$W206))/(INDEX('Flow Curves'!$A$5:$A$11,$X206)-INDEX('Flow Curves'!$A$5:$A$11,$W206))))</f>
        <v>0</v>
      </c>
      <c r="P206" s="20" t="n">
        <f aca="false">IF(OR($B206="Air",$B206="Open Blow"),$O206*60*Cost!$D$16*Cost!$D$17/Cost!$D$5*Cost!$D$13,0)</f>
        <v>0</v>
      </c>
      <c r="Q206" s="17"/>
      <c r="U206" s="16" t="str">
        <f aca="false">IF($D206="","",IF(ISNA(MATCH($B206,Cost!$H$5:$H$11,0)),"CHECK GAS TYPE",IF(OR($C206&lt;10,$C206&gt;150),"CHECK PRESSURE: outside 10-150 psi table",IF(OR($D206&lt;1,$D206&gt;120),"CHECK dB: outside 1-120 table",IF(ISNA(MATCH($C206,'Flow Curves'!$A$5:$A$11,0)),"INTERPOLATED between curves","Table curve")))))</f>
        <v/>
      </c>
      <c r="W206" s="2" t="str">
        <f aca="false">IF(OR($D206="",$C206=""),"",MATCH(MAX(10,MIN(150,$C206)),'Flow Curves'!$A$5:$A$11,1))</f>
        <v/>
      </c>
      <c r="X206" s="2" t="str">
        <f aca="false">IF($W206="","",MIN($W206+1,7))</f>
        <v/>
      </c>
      <c r="Y206" s="2" t="str">
        <f aca="false">IF($W206="","",INDEX('Flow Curves'!$B$5:$B$11,$W206)*POWER($D206,INDEX('Flow Curves'!$C$5:$C$11,$W206)))</f>
        <v/>
      </c>
      <c r="Z206" s="2" t="str">
        <f aca="false">IF($W206="","",INDEX('Flow Curves'!$B$5:$B$11,$X206)*POWER($D206,INDEX('Flow Curves'!$C$5:$C$11,$X206)))</f>
        <v/>
      </c>
    </row>
    <row r="207" customFormat="false" ht="15" hidden="false" customHeight="false" outlineLevel="0" collapsed="false">
      <c r="A207" s="16" t="n">
        <v>200</v>
      </c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8" t="n">
        <f aca="false">IF($O207=0,0,$O207*60*Cost!$D$16*Cost!$D$17*IFERROR(INDEX(Cost!$I$5:$I$11,MATCH($B207,Cost!$H$5:$H$11,0)),0)/Cost!$D$5)</f>
        <v>0</v>
      </c>
      <c r="O207" s="19" t="n">
        <f aca="false">IF($W207="",0,IF(INDEX('Flow Curves'!$A$5:$A$11,$X207)=INDEX('Flow Curves'!$A$5:$A$11,$W207),$Y207,$Y207+($Z207-$Y207)*(MAX(10,MIN(150,$C207))-INDEX('Flow Curves'!$A$5:$A$11,$W207))/(INDEX('Flow Curves'!$A$5:$A$11,$X207)-INDEX('Flow Curves'!$A$5:$A$11,$W207))))</f>
        <v>0</v>
      </c>
      <c r="P207" s="20" t="n">
        <f aca="false">IF(OR($B207="Air",$B207="Open Blow"),$O207*60*Cost!$D$16*Cost!$D$17/Cost!$D$5*Cost!$D$13,0)</f>
        <v>0</v>
      </c>
      <c r="Q207" s="17"/>
      <c r="U207" s="16" t="str">
        <f aca="false">IF($D207="","",IF(ISNA(MATCH($B207,Cost!$H$5:$H$11,0)),"CHECK GAS TYPE",IF(OR($C207&lt;10,$C207&gt;150),"CHECK PRESSURE: outside 10-150 psi table",IF(OR($D207&lt;1,$D207&gt;120),"CHECK dB: outside 1-120 table",IF(ISNA(MATCH($C207,'Flow Curves'!$A$5:$A$11,0)),"INTERPOLATED between curves","Table curve")))))</f>
        <v/>
      </c>
      <c r="W207" s="2" t="str">
        <f aca="false">IF(OR($D207="",$C207=""),"",MATCH(MAX(10,MIN(150,$C207)),'Flow Curves'!$A$5:$A$11,1))</f>
        <v/>
      </c>
      <c r="X207" s="2" t="str">
        <f aca="false">IF($W207="","",MIN($W207+1,7))</f>
        <v/>
      </c>
      <c r="Y207" s="2" t="str">
        <f aca="false">IF($W207="","",INDEX('Flow Curves'!$B$5:$B$11,$W207)*POWER($D207,INDEX('Flow Curves'!$C$5:$C$11,$W207)))</f>
        <v/>
      </c>
      <c r="Z207" s="2" t="str">
        <f aca="false">IF($W207="","",INDEX('Flow Curves'!$B$5:$B$11,$X207)*POWER($D207,INDEX('Flow Curves'!$C$5:$C$11,$X207)))</f>
        <v/>
      </c>
    </row>
    <row r="208" customFormat="false" ht="15" hidden="false" customHeight="false" outlineLevel="0" collapsed="false">
      <c r="A208" s="16" t="n">
        <v>201</v>
      </c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8" t="n">
        <f aca="false">IF($O208=0,0,$O208*60*Cost!$D$16*Cost!$D$17*IFERROR(INDEX(Cost!$I$5:$I$11,MATCH($B208,Cost!$H$5:$H$11,0)),0)/Cost!$D$5)</f>
        <v>0</v>
      </c>
      <c r="O208" s="19" t="n">
        <f aca="false">IF($W208="",0,IF(INDEX('Flow Curves'!$A$5:$A$11,$X208)=INDEX('Flow Curves'!$A$5:$A$11,$W208),$Y208,$Y208+($Z208-$Y208)*(MAX(10,MIN(150,$C208))-INDEX('Flow Curves'!$A$5:$A$11,$W208))/(INDEX('Flow Curves'!$A$5:$A$11,$X208)-INDEX('Flow Curves'!$A$5:$A$11,$W208))))</f>
        <v>0</v>
      </c>
      <c r="P208" s="20" t="n">
        <f aca="false">IF(OR($B208="Air",$B208="Open Blow"),$O208*60*Cost!$D$16*Cost!$D$17/Cost!$D$5*Cost!$D$13,0)</f>
        <v>0</v>
      </c>
      <c r="Q208" s="17"/>
      <c r="U208" s="16" t="str">
        <f aca="false">IF($D208="","",IF(ISNA(MATCH($B208,Cost!$H$5:$H$11,0)),"CHECK GAS TYPE",IF(OR($C208&lt;10,$C208&gt;150),"CHECK PRESSURE: outside 10-150 psi table",IF(OR($D208&lt;1,$D208&gt;120),"CHECK dB: outside 1-120 table",IF(ISNA(MATCH($C208,'Flow Curves'!$A$5:$A$11,0)),"INTERPOLATED between curves","Table curve")))))</f>
        <v/>
      </c>
      <c r="W208" s="2" t="str">
        <f aca="false">IF(OR($D208="",$C208=""),"",MATCH(MAX(10,MIN(150,$C208)),'Flow Curves'!$A$5:$A$11,1))</f>
        <v/>
      </c>
      <c r="X208" s="2" t="str">
        <f aca="false">IF($W208="","",MIN($W208+1,7))</f>
        <v/>
      </c>
      <c r="Y208" s="2" t="str">
        <f aca="false">IF($W208="","",INDEX('Flow Curves'!$B$5:$B$11,$W208)*POWER($D208,INDEX('Flow Curves'!$C$5:$C$11,$W208)))</f>
        <v/>
      </c>
      <c r="Z208" s="2" t="str">
        <f aca="false">IF($W208="","",INDEX('Flow Curves'!$B$5:$B$11,$X208)*POWER($D208,INDEX('Flow Curves'!$C$5:$C$11,$X208)))</f>
        <v/>
      </c>
    </row>
    <row r="209" customFormat="false" ht="15" hidden="false" customHeight="false" outlineLevel="0" collapsed="false">
      <c r="A209" s="16" t="n">
        <v>202</v>
      </c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8" t="n">
        <f aca="false">IF($O209=0,0,$O209*60*Cost!$D$16*Cost!$D$17*IFERROR(INDEX(Cost!$I$5:$I$11,MATCH($B209,Cost!$H$5:$H$11,0)),0)/Cost!$D$5)</f>
        <v>0</v>
      </c>
      <c r="O209" s="19" t="n">
        <f aca="false">IF($W209="",0,IF(INDEX('Flow Curves'!$A$5:$A$11,$X209)=INDEX('Flow Curves'!$A$5:$A$11,$W209),$Y209,$Y209+($Z209-$Y209)*(MAX(10,MIN(150,$C209))-INDEX('Flow Curves'!$A$5:$A$11,$W209))/(INDEX('Flow Curves'!$A$5:$A$11,$X209)-INDEX('Flow Curves'!$A$5:$A$11,$W209))))</f>
        <v>0</v>
      </c>
      <c r="P209" s="20" t="n">
        <f aca="false">IF(OR($B209="Air",$B209="Open Blow"),$O209*60*Cost!$D$16*Cost!$D$17/Cost!$D$5*Cost!$D$13,0)</f>
        <v>0</v>
      </c>
      <c r="Q209" s="17"/>
      <c r="U209" s="16" t="str">
        <f aca="false">IF($D209="","",IF(ISNA(MATCH($B209,Cost!$H$5:$H$11,0)),"CHECK GAS TYPE",IF(OR($C209&lt;10,$C209&gt;150),"CHECK PRESSURE: outside 10-150 psi table",IF(OR($D209&lt;1,$D209&gt;120),"CHECK dB: outside 1-120 table",IF(ISNA(MATCH($C209,'Flow Curves'!$A$5:$A$11,0)),"INTERPOLATED between curves","Table curve")))))</f>
        <v/>
      </c>
      <c r="W209" s="2" t="str">
        <f aca="false">IF(OR($D209="",$C209=""),"",MATCH(MAX(10,MIN(150,$C209)),'Flow Curves'!$A$5:$A$11,1))</f>
        <v/>
      </c>
      <c r="X209" s="2" t="str">
        <f aca="false">IF($W209="","",MIN($W209+1,7))</f>
        <v/>
      </c>
      <c r="Y209" s="2" t="str">
        <f aca="false">IF($W209="","",INDEX('Flow Curves'!$B$5:$B$11,$W209)*POWER($D209,INDEX('Flow Curves'!$C$5:$C$11,$W209)))</f>
        <v/>
      </c>
      <c r="Z209" s="2" t="str">
        <f aca="false">IF($W209="","",INDEX('Flow Curves'!$B$5:$B$11,$X209)*POWER($D209,INDEX('Flow Curves'!$C$5:$C$11,$X209)))</f>
        <v/>
      </c>
    </row>
    <row r="210" customFormat="false" ht="15" hidden="false" customHeight="false" outlineLevel="0" collapsed="false">
      <c r="A210" s="16" t="n">
        <v>203</v>
      </c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8" t="n">
        <f aca="false">IF($O210=0,0,$O210*60*Cost!$D$16*Cost!$D$17*IFERROR(INDEX(Cost!$I$5:$I$11,MATCH($B210,Cost!$H$5:$H$11,0)),0)/Cost!$D$5)</f>
        <v>0</v>
      </c>
      <c r="O210" s="19" t="n">
        <f aca="false">IF($W210="",0,IF(INDEX('Flow Curves'!$A$5:$A$11,$X210)=INDEX('Flow Curves'!$A$5:$A$11,$W210),$Y210,$Y210+($Z210-$Y210)*(MAX(10,MIN(150,$C210))-INDEX('Flow Curves'!$A$5:$A$11,$W210))/(INDEX('Flow Curves'!$A$5:$A$11,$X210)-INDEX('Flow Curves'!$A$5:$A$11,$W210))))</f>
        <v>0</v>
      </c>
      <c r="P210" s="20" t="n">
        <f aca="false">IF(OR($B210="Air",$B210="Open Blow"),$O210*60*Cost!$D$16*Cost!$D$17/Cost!$D$5*Cost!$D$13,0)</f>
        <v>0</v>
      </c>
      <c r="Q210" s="17"/>
      <c r="U210" s="16" t="str">
        <f aca="false">IF($D210="","",IF(ISNA(MATCH($B210,Cost!$H$5:$H$11,0)),"CHECK GAS TYPE",IF(OR($C210&lt;10,$C210&gt;150),"CHECK PRESSURE: outside 10-150 psi table",IF(OR($D210&lt;1,$D210&gt;120),"CHECK dB: outside 1-120 table",IF(ISNA(MATCH($C210,'Flow Curves'!$A$5:$A$11,0)),"INTERPOLATED between curves","Table curve")))))</f>
        <v/>
      </c>
      <c r="W210" s="2" t="str">
        <f aca="false">IF(OR($D210="",$C210=""),"",MATCH(MAX(10,MIN(150,$C210)),'Flow Curves'!$A$5:$A$11,1))</f>
        <v/>
      </c>
      <c r="X210" s="2" t="str">
        <f aca="false">IF($W210="","",MIN($W210+1,7))</f>
        <v/>
      </c>
      <c r="Y210" s="2" t="str">
        <f aca="false">IF($W210="","",INDEX('Flow Curves'!$B$5:$B$11,$W210)*POWER($D210,INDEX('Flow Curves'!$C$5:$C$11,$W210)))</f>
        <v/>
      </c>
      <c r="Z210" s="2" t="str">
        <f aca="false">IF($W210="","",INDEX('Flow Curves'!$B$5:$B$11,$X210)*POWER($D210,INDEX('Flow Curves'!$C$5:$C$11,$X210)))</f>
        <v/>
      </c>
    </row>
    <row r="211" customFormat="false" ht="15" hidden="false" customHeight="false" outlineLevel="0" collapsed="false">
      <c r="A211" s="16" t="n">
        <v>204</v>
      </c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8" t="n">
        <f aca="false">IF($O211=0,0,$O211*60*Cost!$D$16*Cost!$D$17*IFERROR(INDEX(Cost!$I$5:$I$11,MATCH($B211,Cost!$H$5:$H$11,0)),0)/Cost!$D$5)</f>
        <v>0</v>
      </c>
      <c r="O211" s="19" t="n">
        <f aca="false">IF($W211="",0,IF(INDEX('Flow Curves'!$A$5:$A$11,$X211)=INDEX('Flow Curves'!$A$5:$A$11,$W211),$Y211,$Y211+($Z211-$Y211)*(MAX(10,MIN(150,$C211))-INDEX('Flow Curves'!$A$5:$A$11,$W211))/(INDEX('Flow Curves'!$A$5:$A$11,$X211)-INDEX('Flow Curves'!$A$5:$A$11,$W211))))</f>
        <v>0</v>
      </c>
      <c r="P211" s="20" t="n">
        <f aca="false">IF(OR($B211="Air",$B211="Open Blow"),$O211*60*Cost!$D$16*Cost!$D$17/Cost!$D$5*Cost!$D$13,0)</f>
        <v>0</v>
      </c>
      <c r="Q211" s="17"/>
      <c r="U211" s="16" t="str">
        <f aca="false">IF($D211="","",IF(ISNA(MATCH($B211,Cost!$H$5:$H$11,0)),"CHECK GAS TYPE",IF(OR($C211&lt;10,$C211&gt;150),"CHECK PRESSURE: outside 10-150 psi table",IF(OR($D211&lt;1,$D211&gt;120),"CHECK dB: outside 1-120 table",IF(ISNA(MATCH($C211,'Flow Curves'!$A$5:$A$11,0)),"INTERPOLATED between curves","Table curve")))))</f>
        <v/>
      </c>
      <c r="W211" s="2" t="str">
        <f aca="false">IF(OR($D211="",$C211=""),"",MATCH(MAX(10,MIN(150,$C211)),'Flow Curves'!$A$5:$A$11,1))</f>
        <v/>
      </c>
      <c r="X211" s="2" t="str">
        <f aca="false">IF($W211="","",MIN($W211+1,7))</f>
        <v/>
      </c>
      <c r="Y211" s="2" t="str">
        <f aca="false">IF($W211="","",INDEX('Flow Curves'!$B$5:$B$11,$W211)*POWER($D211,INDEX('Flow Curves'!$C$5:$C$11,$W211)))</f>
        <v/>
      </c>
      <c r="Z211" s="2" t="str">
        <f aca="false">IF($W211="","",INDEX('Flow Curves'!$B$5:$B$11,$X211)*POWER($D211,INDEX('Flow Curves'!$C$5:$C$11,$X211)))</f>
        <v/>
      </c>
    </row>
    <row r="212" customFormat="false" ht="15" hidden="false" customHeight="false" outlineLevel="0" collapsed="false">
      <c r="A212" s="16" t="n">
        <v>205</v>
      </c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8" t="n">
        <f aca="false">IF($O212=0,0,$O212*60*Cost!$D$16*Cost!$D$17*IFERROR(INDEX(Cost!$I$5:$I$11,MATCH($B212,Cost!$H$5:$H$11,0)),0)/Cost!$D$5)</f>
        <v>0</v>
      </c>
      <c r="O212" s="19" t="n">
        <f aca="false">IF($W212="",0,IF(INDEX('Flow Curves'!$A$5:$A$11,$X212)=INDEX('Flow Curves'!$A$5:$A$11,$W212),$Y212,$Y212+($Z212-$Y212)*(MAX(10,MIN(150,$C212))-INDEX('Flow Curves'!$A$5:$A$11,$W212))/(INDEX('Flow Curves'!$A$5:$A$11,$X212)-INDEX('Flow Curves'!$A$5:$A$11,$W212))))</f>
        <v>0</v>
      </c>
      <c r="P212" s="20" t="n">
        <f aca="false">IF(OR($B212="Air",$B212="Open Blow"),$O212*60*Cost!$D$16*Cost!$D$17/Cost!$D$5*Cost!$D$13,0)</f>
        <v>0</v>
      </c>
      <c r="Q212" s="17"/>
      <c r="U212" s="16" t="str">
        <f aca="false">IF($D212="","",IF(ISNA(MATCH($B212,Cost!$H$5:$H$11,0)),"CHECK GAS TYPE",IF(OR($C212&lt;10,$C212&gt;150),"CHECK PRESSURE: outside 10-150 psi table",IF(OR($D212&lt;1,$D212&gt;120),"CHECK dB: outside 1-120 table",IF(ISNA(MATCH($C212,'Flow Curves'!$A$5:$A$11,0)),"INTERPOLATED between curves","Table curve")))))</f>
        <v/>
      </c>
      <c r="W212" s="2" t="str">
        <f aca="false">IF(OR($D212="",$C212=""),"",MATCH(MAX(10,MIN(150,$C212)),'Flow Curves'!$A$5:$A$11,1))</f>
        <v/>
      </c>
      <c r="X212" s="2" t="str">
        <f aca="false">IF($W212="","",MIN($W212+1,7))</f>
        <v/>
      </c>
      <c r="Y212" s="2" t="str">
        <f aca="false">IF($W212="","",INDEX('Flow Curves'!$B$5:$B$11,$W212)*POWER($D212,INDEX('Flow Curves'!$C$5:$C$11,$W212)))</f>
        <v/>
      </c>
      <c r="Z212" s="2" t="str">
        <f aca="false">IF($W212="","",INDEX('Flow Curves'!$B$5:$B$11,$X212)*POWER($D212,INDEX('Flow Curves'!$C$5:$C$11,$X212)))</f>
        <v/>
      </c>
    </row>
    <row r="213" customFormat="false" ht="15" hidden="false" customHeight="false" outlineLevel="0" collapsed="false">
      <c r="A213" s="16" t="n">
        <v>206</v>
      </c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8" t="n">
        <f aca="false">IF($O213=0,0,$O213*60*Cost!$D$16*Cost!$D$17*IFERROR(INDEX(Cost!$I$5:$I$11,MATCH($B213,Cost!$H$5:$H$11,0)),0)/Cost!$D$5)</f>
        <v>0</v>
      </c>
      <c r="O213" s="19" t="n">
        <f aca="false">IF($W213="",0,IF(INDEX('Flow Curves'!$A$5:$A$11,$X213)=INDEX('Flow Curves'!$A$5:$A$11,$W213),$Y213,$Y213+($Z213-$Y213)*(MAX(10,MIN(150,$C213))-INDEX('Flow Curves'!$A$5:$A$11,$W213))/(INDEX('Flow Curves'!$A$5:$A$11,$X213)-INDEX('Flow Curves'!$A$5:$A$11,$W213))))</f>
        <v>0</v>
      </c>
      <c r="P213" s="20" t="n">
        <f aca="false">IF(OR($B213="Air",$B213="Open Blow"),$O213*60*Cost!$D$16*Cost!$D$17/Cost!$D$5*Cost!$D$13,0)</f>
        <v>0</v>
      </c>
      <c r="Q213" s="17"/>
      <c r="U213" s="16" t="str">
        <f aca="false">IF($D213="","",IF(ISNA(MATCH($B213,Cost!$H$5:$H$11,0)),"CHECK GAS TYPE",IF(OR($C213&lt;10,$C213&gt;150),"CHECK PRESSURE: outside 10-150 psi table",IF(OR($D213&lt;1,$D213&gt;120),"CHECK dB: outside 1-120 table",IF(ISNA(MATCH($C213,'Flow Curves'!$A$5:$A$11,0)),"INTERPOLATED between curves","Table curve")))))</f>
        <v/>
      </c>
      <c r="W213" s="2" t="str">
        <f aca="false">IF(OR($D213="",$C213=""),"",MATCH(MAX(10,MIN(150,$C213)),'Flow Curves'!$A$5:$A$11,1))</f>
        <v/>
      </c>
      <c r="X213" s="2" t="str">
        <f aca="false">IF($W213="","",MIN($W213+1,7))</f>
        <v/>
      </c>
      <c r="Y213" s="2" t="str">
        <f aca="false">IF($W213="","",INDEX('Flow Curves'!$B$5:$B$11,$W213)*POWER($D213,INDEX('Flow Curves'!$C$5:$C$11,$W213)))</f>
        <v/>
      </c>
      <c r="Z213" s="2" t="str">
        <f aca="false">IF($W213="","",INDEX('Flow Curves'!$B$5:$B$11,$X213)*POWER($D213,INDEX('Flow Curves'!$C$5:$C$11,$X213)))</f>
        <v/>
      </c>
    </row>
    <row r="214" customFormat="false" ht="15" hidden="false" customHeight="false" outlineLevel="0" collapsed="false">
      <c r="A214" s="16" t="n">
        <v>207</v>
      </c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8" t="n">
        <f aca="false">IF($O214=0,0,$O214*60*Cost!$D$16*Cost!$D$17*IFERROR(INDEX(Cost!$I$5:$I$11,MATCH($B214,Cost!$H$5:$H$11,0)),0)/Cost!$D$5)</f>
        <v>0</v>
      </c>
      <c r="O214" s="19" t="n">
        <f aca="false">IF($W214="",0,IF(INDEX('Flow Curves'!$A$5:$A$11,$X214)=INDEX('Flow Curves'!$A$5:$A$11,$W214),$Y214,$Y214+($Z214-$Y214)*(MAX(10,MIN(150,$C214))-INDEX('Flow Curves'!$A$5:$A$11,$W214))/(INDEX('Flow Curves'!$A$5:$A$11,$X214)-INDEX('Flow Curves'!$A$5:$A$11,$W214))))</f>
        <v>0</v>
      </c>
      <c r="P214" s="20" t="n">
        <f aca="false">IF(OR($B214="Air",$B214="Open Blow"),$O214*60*Cost!$D$16*Cost!$D$17/Cost!$D$5*Cost!$D$13,0)</f>
        <v>0</v>
      </c>
      <c r="Q214" s="17"/>
      <c r="U214" s="16" t="str">
        <f aca="false">IF($D214="","",IF(ISNA(MATCH($B214,Cost!$H$5:$H$11,0)),"CHECK GAS TYPE",IF(OR($C214&lt;10,$C214&gt;150),"CHECK PRESSURE: outside 10-150 psi table",IF(OR($D214&lt;1,$D214&gt;120),"CHECK dB: outside 1-120 table",IF(ISNA(MATCH($C214,'Flow Curves'!$A$5:$A$11,0)),"INTERPOLATED between curves","Table curve")))))</f>
        <v/>
      </c>
      <c r="W214" s="2" t="str">
        <f aca="false">IF(OR($D214="",$C214=""),"",MATCH(MAX(10,MIN(150,$C214)),'Flow Curves'!$A$5:$A$11,1))</f>
        <v/>
      </c>
      <c r="X214" s="2" t="str">
        <f aca="false">IF($W214="","",MIN($W214+1,7))</f>
        <v/>
      </c>
      <c r="Y214" s="2" t="str">
        <f aca="false">IF($W214="","",INDEX('Flow Curves'!$B$5:$B$11,$W214)*POWER($D214,INDEX('Flow Curves'!$C$5:$C$11,$W214)))</f>
        <v/>
      </c>
      <c r="Z214" s="2" t="str">
        <f aca="false">IF($W214="","",INDEX('Flow Curves'!$B$5:$B$11,$X214)*POWER($D214,INDEX('Flow Curves'!$C$5:$C$11,$X214)))</f>
        <v/>
      </c>
    </row>
    <row r="215" customFormat="false" ht="15" hidden="false" customHeight="false" outlineLevel="0" collapsed="false">
      <c r="A215" s="16" t="n">
        <v>208</v>
      </c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8" t="n">
        <f aca="false">IF($O215=0,0,$O215*60*Cost!$D$16*Cost!$D$17*IFERROR(INDEX(Cost!$I$5:$I$11,MATCH($B215,Cost!$H$5:$H$11,0)),0)/Cost!$D$5)</f>
        <v>0</v>
      </c>
      <c r="O215" s="19" t="n">
        <f aca="false">IF($W215="",0,IF(INDEX('Flow Curves'!$A$5:$A$11,$X215)=INDEX('Flow Curves'!$A$5:$A$11,$W215),$Y215,$Y215+($Z215-$Y215)*(MAX(10,MIN(150,$C215))-INDEX('Flow Curves'!$A$5:$A$11,$W215))/(INDEX('Flow Curves'!$A$5:$A$11,$X215)-INDEX('Flow Curves'!$A$5:$A$11,$W215))))</f>
        <v>0</v>
      </c>
      <c r="P215" s="20" t="n">
        <f aca="false">IF(OR($B215="Air",$B215="Open Blow"),$O215*60*Cost!$D$16*Cost!$D$17/Cost!$D$5*Cost!$D$13,0)</f>
        <v>0</v>
      </c>
      <c r="Q215" s="17"/>
      <c r="U215" s="16" t="str">
        <f aca="false">IF($D215="","",IF(ISNA(MATCH($B215,Cost!$H$5:$H$11,0)),"CHECK GAS TYPE",IF(OR($C215&lt;10,$C215&gt;150),"CHECK PRESSURE: outside 10-150 psi table",IF(OR($D215&lt;1,$D215&gt;120),"CHECK dB: outside 1-120 table",IF(ISNA(MATCH($C215,'Flow Curves'!$A$5:$A$11,0)),"INTERPOLATED between curves","Table curve")))))</f>
        <v/>
      </c>
      <c r="W215" s="2" t="str">
        <f aca="false">IF(OR($D215="",$C215=""),"",MATCH(MAX(10,MIN(150,$C215)),'Flow Curves'!$A$5:$A$11,1))</f>
        <v/>
      </c>
      <c r="X215" s="2" t="str">
        <f aca="false">IF($W215="","",MIN($W215+1,7))</f>
        <v/>
      </c>
      <c r="Y215" s="2" t="str">
        <f aca="false">IF($W215="","",INDEX('Flow Curves'!$B$5:$B$11,$W215)*POWER($D215,INDEX('Flow Curves'!$C$5:$C$11,$W215)))</f>
        <v/>
      </c>
      <c r="Z215" s="2" t="str">
        <f aca="false">IF($W215="","",INDEX('Flow Curves'!$B$5:$B$11,$X215)*POWER($D215,INDEX('Flow Curves'!$C$5:$C$11,$X215)))</f>
        <v/>
      </c>
    </row>
    <row r="216" customFormat="false" ht="15" hidden="false" customHeight="false" outlineLevel="0" collapsed="false">
      <c r="A216" s="16" t="n">
        <v>209</v>
      </c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8" t="n">
        <f aca="false">IF($O216=0,0,$O216*60*Cost!$D$16*Cost!$D$17*IFERROR(INDEX(Cost!$I$5:$I$11,MATCH($B216,Cost!$H$5:$H$11,0)),0)/Cost!$D$5)</f>
        <v>0</v>
      </c>
      <c r="O216" s="19" t="n">
        <f aca="false">IF($W216="",0,IF(INDEX('Flow Curves'!$A$5:$A$11,$X216)=INDEX('Flow Curves'!$A$5:$A$11,$W216),$Y216,$Y216+($Z216-$Y216)*(MAX(10,MIN(150,$C216))-INDEX('Flow Curves'!$A$5:$A$11,$W216))/(INDEX('Flow Curves'!$A$5:$A$11,$X216)-INDEX('Flow Curves'!$A$5:$A$11,$W216))))</f>
        <v>0</v>
      </c>
      <c r="P216" s="20" t="n">
        <f aca="false">IF(OR($B216="Air",$B216="Open Blow"),$O216*60*Cost!$D$16*Cost!$D$17/Cost!$D$5*Cost!$D$13,0)</f>
        <v>0</v>
      </c>
      <c r="Q216" s="17"/>
      <c r="U216" s="16" t="str">
        <f aca="false">IF($D216="","",IF(ISNA(MATCH($B216,Cost!$H$5:$H$11,0)),"CHECK GAS TYPE",IF(OR($C216&lt;10,$C216&gt;150),"CHECK PRESSURE: outside 10-150 psi table",IF(OR($D216&lt;1,$D216&gt;120),"CHECK dB: outside 1-120 table",IF(ISNA(MATCH($C216,'Flow Curves'!$A$5:$A$11,0)),"INTERPOLATED between curves","Table curve")))))</f>
        <v/>
      </c>
      <c r="W216" s="2" t="str">
        <f aca="false">IF(OR($D216="",$C216=""),"",MATCH(MAX(10,MIN(150,$C216)),'Flow Curves'!$A$5:$A$11,1))</f>
        <v/>
      </c>
      <c r="X216" s="2" t="str">
        <f aca="false">IF($W216="","",MIN($W216+1,7))</f>
        <v/>
      </c>
      <c r="Y216" s="2" t="str">
        <f aca="false">IF($W216="","",INDEX('Flow Curves'!$B$5:$B$11,$W216)*POWER($D216,INDEX('Flow Curves'!$C$5:$C$11,$W216)))</f>
        <v/>
      </c>
      <c r="Z216" s="2" t="str">
        <f aca="false">IF($W216="","",INDEX('Flow Curves'!$B$5:$B$11,$X216)*POWER($D216,INDEX('Flow Curves'!$C$5:$C$11,$X216)))</f>
        <v/>
      </c>
    </row>
    <row r="217" customFormat="false" ht="15" hidden="false" customHeight="false" outlineLevel="0" collapsed="false">
      <c r="A217" s="16" t="n">
        <v>210</v>
      </c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8" t="n">
        <f aca="false">IF($O217=0,0,$O217*60*Cost!$D$16*Cost!$D$17*IFERROR(INDEX(Cost!$I$5:$I$11,MATCH($B217,Cost!$H$5:$H$11,0)),0)/Cost!$D$5)</f>
        <v>0</v>
      </c>
      <c r="O217" s="19" t="n">
        <f aca="false">IF($W217="",0,IF(INDEX('Flow Curves'!$A$5:$A$11,$X217)=INDEX('Flow Curves'!$A$5:$A$11,$W217),$Y217,$Y217+($Z217-$Y217)*(MAX(10,MIN(150,$C217))-INDEX('Flow Curves'!$A$5:$A$11,$W217))/(INDEX('Flow Curves'!$A$5:$A$11,$X217)-INDEX('Flow Curves'!$A$5:$A$11,$W217))))</f>
        <v>0</v>
      </c>
      <c r="P217" s="20" t="n">
        <f aca="false">IF(OR($B217="Air",$B217="Open Blow"),$O217*60*Cost!$D$16*Cost!$D$17/Cost!$D$5*Cost!$D$13,0)</f>
        <v>0</v>
      </c>
      <c r="Q217" s="17"/>
      <c r="U217" s="16" t="str">
        <f aca="false">IF($D217="","",IF(ISNA(MATCH($B217,Cost!$H$5:$H$11,0)),"CHECK GAS TYPE",IF(OR($C217&lt;10,$C217&gt;150),"CHECK PRESSURE: outside 10-150 psi table",IF(OR($D217&lt;1,$D217&gt;120),"CHECK dB: outside 1-120 table",IF(ISNA(MATCH($C217,'Flow Curves'!$A$5:$A$11,0)),"INTERPOLATED between curves","Table curve")))))</f>
        <v/>
      </c>
      <c r="W217" s="2" t="str">
        <f aca="false">IF(OR($D217="",$C217=""),"",MATCH(MAX(10,MIN(150,$C217)),'Flow Curves'!$A$5:$A$11,1))</f>
        <v/>
      </c>
      <c r="X217" s="2" t="str">
        <f aca="false">IF($W217="","",MIN($W217+1,7))</f>
        <v/>
      </c>
      <c r="Y217" s="2" t="str">
        <f aca="false">IF($W217="","",INDEX('Flow Curves'!$B$5:$B$11,$W217)*POWER($D217,INDEX('Flow Curves'!$C$5:$C$11,$W217)))</f>
        <v/>
      </c>
      <c r="Z217" s="2" t="str">
        <f aca="false">IF($W217="","",INDEX('Flow Curves'!$B$5:$B$11,$X217)*POWER($D217,INDEX('Flow Curves'!$C$5:$C$11,$X217)))</f>
        <v/>
      </c>
    </row>
    <row r="218" customFormat="false" ht="15" hidden="false" customHeight="false" outlineLevel="0" collapsed="false">
      <c r="A218" s="16" t="n">
        <v>211</v>
      </c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8" t="n">
        <f aca="false">IF($O218=0,0,$O218*60*Cost!$D$16*Cost!$D$17*IFERROR(INDEX(Cost!$I$5:$I$11,MATCH($B218,Cost!$H$5:$H$11,0)),0)/Cost!$D$5)</f>
        <v>0</v>
      </c>
      <c r="O218" s="19" t="n">
        <f aca="false">IF($W218="",0,IF(INDEX('Flow Curves'!$A$5:$A$11,$X218)=INDEX('Flow Curves'!$A$5:$A$11,$W218),$Y218,$Y218+($Z218-$Y218)*(MAX(10,MIN(150,$C218))-INDEX('Flow Curves'!$A$5:$A$11,$W218))/(INDEX('Flow Curves'!$A$5:$A$11,$X218)-INDEX('Flow Curves'!$A$5:$A$11,$W218))))</f>
        <v>0</v>
      </c>
      <c r="P218" s="20" t="n">
        <f aca="false">IF(OR($B218="Air",$B218="Open Blow"),$O218*60*Cost!$D$16*Cost!$D$17/Cost!$D$5*Cost!$D$13,0)</f>
        <v>0</v>
      </c>
      <c r="Q218" s="17"/>
      <c r="U218" s="16" t="str">
        <f aca="false">IF($D218="","",IF(ISNA(MATCH($B218,Cost!$H$5:$H$11,0)),"CHECK GAS TYPE",IF(OR($C218&lt;10,$C218&gt;150),"CHECK PRESSURE: outside 10-150 psi table",IF(OR($D218&lt;1,$D218&gt;120),"CHECK dB: outside 1-120 table",IF(ISNA(MATCH($C218,'Flow Curves'!$A$5:$A$11,0)),"INTERPOLATED between curves","Table curve")))))</f>
        <v/>
      </c>
      <c r="W218" s="2" t="str">
        <f aca="false">IF(OR($D218="",$C218=""),"",MATCH(MAX(10,MIN(150,$C218)),'Flow Curves'!$A$5:$A$11,1))</f>
        <v/>
      </c>
      <c r="X218" s="2" t="str">
        <f aca="false">IF($W218="","",MIN($W218+1,7))</f>
        <v/>
      </c>
      <c r="Y218" s="2" t="str">
        <f aca="false">IF($W218="","",INDEX('Flow Curves'!$B$5:$B$11,$W218)*POWER($D218,INDEX('Flow Curves'!$C$5:$C$11,$W218)))</f>
        <v/>
      </c>
      <c r="Z218" s="2" t="str">
        <f aca="false">IF($W218="","",INDEX('Flow Curves'!$B$5:$B$11,$X218)*POWER($D218,INDEX('Flow Curves'!$C$5:$C$11,$X218)))</f>
        <v/>
      </c>
    </row>
    <row r="219" customFormat="false" ht="15" hidden="false" customHeight="false" outlineLevel="0" collapsed="false">
      <c r="A219" s="16" t="n">
        <v>212</v>
      </c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8" t="n">
        <f aca="false">IF($O219=0,0,$O219*60*Cost!$D$16*Cost!$D$17*IFERROR(INDEX(Cost!$I$5:$I$11,MATCH($B219,Cost!$H$5:$H$11,0)),0)/Cost!$D$5)</f>
        <v>0</v>
      </c>
      <c r="O219" s="19" t="n">
        <f aca="false">IF($W219="",0,IF(INDEX('Flow Curves'!$A$5:$A$11,$X219)=INDEX('Flow Curves'!$A$5:$A$11,$W219),$Y219,$Y219+($Z219-$Y219)*(MAX(10,MIN(150,$C219))-INDEX('Flow Curves'!$A$5:$A$11,$W219))/(INDEX('Flow Curves'!$A$5:$A$11,$X219)-INDEX('Flow Curves'!$A$5:$A$11,$W219))))</f>
        <v>0</v>
      </c>
      <c r="P219" s="20" t="n">
        <f aca="false">IF(OR($B219="Air",$B219="Open Blow"),$O219*60*Cost!$D$16*Cost!$D$17/Cost!$D$5*Cost!$D$13,0)</f>
        <v>0</v>
      </c>
      <c r="Q219" s="17"/>
      <c r="U219" s="16" t="str">
        <f aca="false">IF($D219="","",IF(ISNA(MATCH($B219,Cost!$H$5:$H$11,0)),"CHECK GAS TYPE",IF(OR($C219&lt;10,$C219&gt;150),"CHECK PRESSURE: outside 10-150 psi table",IF(OR($D219&lt;1,$D219&gt;120),"CHECK dB: outside 1-120 table",IF(ISNA(MATCH($C219,'Flow Curves'!$A$5:$A$11,0)),"INTERPOLATED between curves","Table curve")))))</f>
        <v/>
      </c>
      <c r="W219" s="2" t="str">
        <f aca="false">IF(OR($D219="",$C219=""),"",MATCH(MAX(10,MIN(150,$C219)),'Flow Curves'!$A$5:$A$11,1))</f>
        <v/>
      </c>
      <c r="X219" s="2" t="str">
        <f aca="false">IF($W219="","",MIN($W219+1,7))</f>
        <v/>
      </c>
      <c r="Y219" s="2" t="str">
        <f aca="false">IF($W219="","",INDEX('Flow Curves'!$B$5:$B$11,$W219)*POWER($D219,INDEX('Flow Curves'!$C$5:$C$11,$W219)))</f>
        <v/>
      </c>
      <c r="Z219" s="2" t="str">
        <f aca="false">IF($W219="","",INDEX('Flow Curves'!$B$5:$B$11,$X219)*POWER($D219,INDEX('Flow Curves'!$C$5:$C$11,$X219)))</f>
        <v/>
      </c>
    </row>
    <row r="220" customFormat="false" ht="15" hidden="false" customHeight="false" outlineLevel="0" collapsed="false">
      <c r="A220" s="16" t="n">
        <v>213</v>
      </c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8" t="n">
        <f aca="false">IF($O220=0,0,$O220*60*Cost!$D$16*Cost!$D$17*IFERROR(INDEX(Cost!$I$5:$I$11,MATCH($B220,Cost!$H$5:$H$11,0)),0)/Cost!$D$5)</f>
        <v>0</v>
      </c>
      <c r="O220" s="19" t="n">
        <f aca="false">IF($W220="",0,IF(INDEX('Flow Curves'!$A$5:$A$11,$X220)=INDEX('Flow Curves'!$A$5:$A$11,$W220),$Y220,$Y220+($Z220-$Y220)*(MAX(10,MIN(150,$C220))-INDEX('Flow Curves'!$A$5:$A$11,$W220))/(INDEX('Flow Curves'!$A$5:$A$11,$X220)-INDEX('Flow Curves'!$A$5:$A$11,$W220))))</f>
        <v>0</v>
      </c>
      <c r="P220" s="20" t="n">
        <f aca="false">IF(OR($B220="Air",$B220="Open Blow"),$O220*60*Cost!$D$16*Cost!$D$17/Cost!$D$5*Cost!$D$13,0)</f>
        <v>0</v>
      </c>
      <c r="Q220" s="17"/>
      <c r="U220" s="16" t="str">
        <f aca="false">IF($D220="","",IF(ISNA(MATCH($B220,Cost!$H$5:$H$11,0)),"CHECK GAS TYPE",IF(OR($C220&lt;10,$C220&gt;150),"CHECK PRESSURE: outside 10-150 psi table",IF(OR($D220&lt;1,$D220&gt;120),"CHECK dB: outside 1-120 table",IF(ISNA(MATCH($C220,'Flow Curves'!$A$5:$A$11,0)),"INTERPOLATED between curves","Table curve")))))</f>
        <v/>
      </c>
      <c r="W220" s="2" t="str">
        <f aca="false">IF(OR($D220="",$C220=""),"",MATCH(MAX(10,MIN(150,$C220)),'Flow Curves'!$A$5:$A$11,1))</f>
        <v/>
      </c>
      <c r="X220" s="2" t="str">
        <f aca="false">IF($W220="","",MIN($W220+1,7))</f>
        <v/>
      </c>
      <c r="Y220" s="2" t="str">
        <f aca="false">IF($W220="","",INDEX('Flow Curves'!$B$5:$B$11,$W220)*POWER($D220,INDEX('Flow Curves'!$C$5:$C$11,$W220)))</f>
        <v/>
      </c>
      <c r="Z220" s="2" t="str">
        <f aca="false">IF($W220="","",INDEX('Flow Curves'!$B$5:$B$11,$X220)*POWER($D220,INDEX('Flow Curves'!$C$5:$C$11,$X220)))</f>
        <v/>
      </c>
    </row>
    <row r="221" customFormat="false" ht="15" hidden="false" customHeight="false" outlineLevel="0" collapsed="false">
      <c r="A221" s="16" t="n">
        <v>214</v>
      </c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8" t="n">
        <f aca="false">IF($O221=0,0,$O221*60*Cost!$D$16*Cost!$D$17*IFERROR(INDEX(Cost!$I$5:$I$11,MATCH($B221,Cost!$H$5:$H$11,0)),0)/Cost!$D$5)</f>
        <v>0</v>
      </c>
      <c r="O221" s="19" t="n">
        <f aca="false">IF($W221="",0,IF(INDEX('Flow Curves'!$A$5:$A$11,$X221)=INDEX('Flow Curves'!$A$5:$A$11,$W221),$Y221,$Y221+($Z221-$Y221)*(MAX(10,MIN(150,$C221))-INDEX('Flow Curves'!$A$5:$A$11,$W221))/(INDEX('Flow Curves'!$A$5:$A$11,$X221)-INDEX('Flow Curves'!$A$5:$A$11,$W221))))</f>
        <v>0</v>
      </c>
      <c r="P221" s="20" t="n">
        <f aca="false">IF(OR($B221="Air",$B221="Open Blow"),$O221*60*Cost!$D$16*Cost!$D$17/Cost!$D$5*Cost!$D$13,0)</f>
        <v>0</v>
      </c>
      <c r="Q221" s="17"/>
      <c r="U221" s="16" t="str">
        <f aca="false">IF($D221="","",IF(ISNA(MATCH($B221,Cost!$H$5:$H$11,0)),"CHECK GAS TYPE",IF(OR($C221&lt;10,$C221&gt;150),"CHECK PRESSURE: outside 10-150 psi table",IF(OR($D221&lt;1,$D221&gt;120),"CHECK dB: outside 1-120 table",IF(ISNA(MATCH($C221,'Flow Curves'!$A$5:$A$11,0)),"INTERPOLATED between curves","Table curve")))))</f>
        <v/>
      </c>
      <c r="W221" s="2" t="str">
        <f aca="false">IF(OR($D221="",$C221=""),"",MATCH(MAX(10,MIN(150,$C221)),'Flow Curves'!$A$5:$A$11,1))</f>
        <v/>
      </c>
      <c r="X221" s="2" t="str">
        <f aca="false">IF($W221="","",MIN($W221+1,7))</f>
        <v/>
      </c>
      <c r="Y221" s="2" t="str">
        <f aca="false">IF($W221="","",INDEX('Flow Curves'!$B$5:$B$11,$W221)*POWER($D221,INDEX('Flow Curves'!$C$5:$C$11,$W221)))</f>
        <v/>
      </c>
      <c r="Z221" s="2" t="str">
        <f aca="false">IF($W221="","",INDEX('Flow Curves'!$B$5:$B$11,$X221)*POWER($D221,INDEX('Flow Curves'!$C$5:$C$11,$X221)))</f>
        <v/>
      </c>
    </row>
    <row r="222" customFormat="false" ht="15" hidden="false" customHeight="false" outlineLevel="0" collapsed="false">
      <c r="A222" s="16" t="n">
        <v>215</v>
      </c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8" t="n">
        <f aca="false">IF($O222=0,0,$O222*60*Cost!$D$16*Cost!$D$17*IFERROR(INDEX(Cost!$I$5:$I$11,MATCH($B222,Cost!$H$5:$H$11,0)),0)/Cost!$D$5)</f>
        <v>0</v>
      </c>
      <c r="O222" s="19" t="n">
        <f aca="false">IF($W222="",0,IF(INDEX('Flow Curves'!$A$5:$A$11,$X222)=INDEX('Flow Curves'!$A$5:$A$11,$W222),$Y222,$Y222+($Z222-$Y222)*(MAX(10,MIN(150,$C222))-INDEX('Flow Curves'!$A$5:$A$11,$W222))/(INDEX('Flow Curves'!$A$5:$A$11,$X222)-INDEX('Flow Curves'!$A$5:$A$11,$W222))))</f>
        <v>0</v>
      </c>
      <c r="P222" s="20" t="n">
        <f aca="false">IF(OR($B222="Air",$B222="Open Blow"),$O222*60*Cost!$D$16*Cost!$D$17/Cost!$D$5*Cost!$D$13,0)</f>
        <v>0</v>
      </c>
      <c r="Q222" s="17"/>
      <c r="U222" s="16" t="str">
        <f aca="false">IF($D222="","",IF(ISNA(MATCH($B222,Cost!$H$5:$H$11,0)),"CHECK GAS TYPE",IF(OR($C222&lt;10,$C222&gt;150),"CHECK PRESSURE: outside 10-150 psi table",IF(OR($D222&lt;1,$D222&gt;120),"CHECK dB: outside 1-120 table",IF(ISNA(MATCH($C222,'Flow Curves'!$A$5:$A$11,0)),"INTERPOLATED between curves","Table curve")))))</f>
        <v/>
      </c>
      <c r="W222" s="2" t="str">
        <f aca="false">IF(OR($D222="",$C222=""),"",MATCH(MAX(10,MIN(150,$C222)),'Flow Curves'!$A$5:$A$11,1))</f>
        <v/>
      </c>
      <c r="X222" s="2" t="str">
        <f aca="false">IF($W222="","",MIN($W222+1,7))</f>
        <v/>
      </c>
      <c r="Y222" s="2" t="str">
        <f aca="false">IF($W222="","",INDEX('Flow Curves'!$B$5:$B$11,$W222)*POWER($D222,INDEX('Flow Curves'!$C$5:$C$11,$W222)))</f>
        <v/>
      </c>
      <c r="Z222" s="2" t="str">
        <f aca="false">IF($W222="","",INDEX('Flow Curves'!$B$5:$B$11,$X222)*POWER($D222,INDEX('Flow Curves'!$C$5:$C$11,$X222)))</f>
        <v/>
      </c>
    </row>
    <row r="223" customFormat="false" ht="15" hidden="false" customHeight="false" outlineLevel="0" collapsed="false">
      <c r="A223" s="16" t="n">
        <v>216</v>
      </c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8" t="n">
        <f aca="false">IF($O223=0,0,$O223*60*Cost!$D$16*Cost!$D$17*IFERROR(INDEX(Cost!$I$5:$I$11,MATCH($B223,Cost!$H$5:$H$11,0)),0)/Cost!$D$5)</f>
        <v>0</v>
      </c>
      <c r="O223" s="19" t="n">
        <f aca="false">IF($W223="",0,IF(INDEX('Flow Curves'!$A$5:$A$11,$X223)=INDEX('Flow Curves'!$A$5:$A$11,$W223),$Y223,$Y223+($Z223-$Y223)*(MAX(10,MIN(150,$C223))-INDEX('Flow Curves'!$A$5:$A$11,$W223))/(INDEX('Flow Curves'!$A$5:$A$11,$X223)-INDEX('Flow Curves'!$A$5:$A$11,$W223))))</f>
        <v>0</v>
      </c>
      <c r="P223" s="20" t="n">
        <f aca="false">IF(OR($B223="Air",$B223="Open Blow"),$O223*60*Cost!$D$16*Cost!$D$17/Cost!$D$5*Cost!$D$13,0)</f>
        <v>0</v>
      </c>
      <c r="Q223" s="17"/>
      <c r="U223" s="16" t="str">
        <f aca="false">IF($D223="","",IF(ISNA(MATCH($B223,Cost!$H$5:$H$11,0)),"CHECK GAS TYPE",IF(OR($C223&lt;10,$C223&gt;150),"CHECK PRESSURE: outside 10-150 psi table",IF(OR($D223&lt;1,$D223&gt;120),"CHECK dB: outside 1-120 table",IF(ISNA(MATCH($C223,'Flow Curves'!$A$5:$A$11,0)),"INTERPOLATED between curves","Table curve")))))</f>
        <v/>
      </c>
      <c r="W223" s="2" t="str">
        <f aca="false">IF(OR($D223="",$C223=""),"",MATCH(MAX(10,MIN(150,$C223)),'Flow Curves'!$A$5:$A$11,1))</f>
        <v/>
      </c>
      <c r="X223" s="2" t="str">
        <f aca="false">IF($W223="","",MIN($W223+1,7))</f>
        <v/>
      </c>
      <c r="Y223" s="2" t="str">
        <f aca="false">IF($W223="","",INDEX('Flow Curves'!$B$5:$B$11,$W223)*POWER($D223,INDEX('Flow Curves'!$C$5:$C$11,$W223)))</f>
        <v/>
      </c>
      <c r="Z223" s="2" t="str">
        <f aca="false">IF($W223="","",INDEX('Flow Curves'!$B$5:$B$11,$X223)*POWER($D223,INDEX('Flow Curves'!$C$5:$C$11,$X223)))</f>
        <v/>
      </c>
    </row>
    <row r="224" customFormat="false" ht="15" hidden="false" customHeight="false" outlineLevel="0" collapsed="false">
      <c r="A224" s="16" t="n">
        <v>217</v>
      </c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8" t="n">
        <f aca="false">IF($O224=0,0,$O224*60*Cost!$D$16*Cost!$D$17*IFERROR(INDEX(Cost!$I$5:$I$11,MATCH($B224,Cost!$H$5:$H$11,0)),0)/Cost!$D$5)</f>
        <v>0</v>
      </c>
      <c r="O224" s="19" t="n">
        <f aca="false">IF($W224="",0,IF(INDEX('Flow Curves'!$A$5:$A$11,$X224)=INDEX('Flow Curves'!$A$5:$A$11,$W224),$Y224,$Y224+($Z224-$Y224)*(MAX(10,MIN(150,$C224))-INDEX('Flow Curves'!$A$5:$A$11,$W224))/(INDEX('Flow Curves'!$A$5:$A$11,$X224)-INDEX('Flow Curves'!$A$5:$A$11,$W224))))</f>
        <v>0</v>
      </c>
      <c r="P224" s="20" t="n">
        <f aca="false">IF(OR($B224="Air",$B224="Open Blow"),$O224*60*Cost!$D$16*Cost!$D$17/Cost!$D$5*Cost!$D$13,0)</f>
        <v>0</v>
      </c>
      <c r="Q224" s="17"/>
      <c r="U224" s="16" t="str">
        <f aca="false">IF($D224="","",IF(ISNA(MATCH($B224,Cost!$H$5:$H$11,0)),"CHECK GAS TYPE",IF(OR($C224&lt;10,$C224&gt;150),"CHECK PRESSURE: outside 10-150 psi table",IF(OR($D224&lt;1,$D224&gt;120),"CHECK dB: outside 1-120 table",IF(ISNA(MATCH($C224,'Flow Curves'!$A$5:$A$11,0)),"INTERPOLATED between curves","Table curve")))))</f>
        <v/>
      </c>
      <c r="W224" s="2" t="str">
        <f aca="false">IF(OR($D224="",$C224=""),"",MATCH(MAX(10,MIN(150,$C224)),'Flow Curves'!$A$5:$A$11,1))</f>
        <v/>
      </c>
      <c r="X224" s="2" t="str">
        <f aca="false">IF($W224="","",MIN($W224+1,7))</f>
        <v/>
      </c>
      <c r="Y224" s="2" t="str">
        <f aca="false">IF($W224="","",INDEX('Flow Curves'!$B$5:$B$11,$W224)*POWER($D224,INDEX('Flow Curves'!$C$5:$C$11,$W224)))</f>
        <v/>
      </c>
      <c r="Z224" s="2" t="str">
        <f aca="false">IF($W224="","",INDEX('Flow Curves'!$B$5:$B$11,$X224)*POWER($D224,INDEX('Flow Curves'!$C$5:$C$11,$X224)))</f>
        <v/>
      </c>
    </row>
    <row r="225" customFormat="false" ht="15" hidden="false" customHeight="false" outlineLevel="0" collapsed="false">
      <c r="A225" s="16" t="n">
        <v>218</v>
      </c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8" t="n">
        <f aca="false">IF($O225=0,0,$O225*60*Cost!$D$16*Cost!$D$17*IFERROR(INDEX(Cost!$I$5:$I$11,MATCH($B225,Cost!$H$5:$H$11,0)),0)/Cost!$D$5)</f>
        <v>0</v>
      </c>
      <c r="O225" s="19" t="n">
        <f aca="false">IF($W225="",0,IF(INDEX('Flow Curves'!$A$5:$A$11,$X225)=INDEX('Flow Curves'!$A$5:$A$11,$W225),$Y225,$Y225+($Z225-$Y225)*(MAX(10,MIN(150,$C225))-INDEX('Flow Curves'!$A$5:$A$11,$W225))/(INDEX('Flow Curves'!$A$5:$A$11,$X225)-INDEX('Flow Curves'!$A$5:$A$11,$W225))))</f>
        <v>0</v>
      </c>
      <c r="P225" s="20" t="n">
        <f aca="false">IF(OR($B225="Air",$B225="Open Blow"),$O225*60*Cost!$D$16*Cost!$D$17/Cost!$D$5*Cost!$D$13,0)</f>
        <v>0</v>
      </c>
      <c r="Q225" s="17"/>
      <c r="U225" s="16" t="str">
        <f aca="false">IF($D225="","",IF(ISNA(MATCH($B225,Cost!$H$5:$H$11,0)),"CHECK GAS TYPE",IF(OR($C225&lt;10,$C225&gt;150),"CHECK PRESSURE: outside 10-150 psi table",IF(OR($D225&lt;1,$D225&gt;120),"CHECK dB: outside 1-120 table",IF(ISNA(MATCH($C225,'Flow Curves'!$A$5:$A$11,0)),"INTERPOLATED between curves","Table curve")))))</f>
        <v/>
      </c>
      <c r="W225" s="2" t="str">
        <f aca="false">IF(OR($D225="",$C225=""),"",MATCH(MAX(10,MIN(150,$C225)),'Flow Curves'!$A$5:$A$11,1))</f>
        <v/>
      </c>
      <c r="X225" s="2" t="str">
        <f aca="false">IF($W225="","",MIN($W225+1,7))</f>
        <v/>
      </c>
      <c r="Y225" s="2" t="str">
        <f aca="false">IF($W225="","",INDEX('Flow Curves'!$B$5:$B$11,$W225)*POWER($D225,INDEX('Flow Curves'!$C$5:$C$11,$W225)))</f>
        <v/>
      </c>
      <c r="Z225" s="2" t="str">
        <f aca="false">IF($W225="","",INDEX('Flow Curves'!$B$5:$B$11,$X225)*POWER($D225,INDEX('Flow Curves'!$C$5:$C$11,$X225)))</f>
        <v/>
      </c>
    </row>
    <row r="226" customFormat="false" ht="15" hidden="false" customHeight="false" outlineLevel="0" collapsed="false">
      <c r="A226" s="16" t="n">
        <v>219</v>
      </c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8" t="n">
        <f aca="false">IF($O226=0,0,$O226*60*Cost!$D$16*Cost!$D$17*IFERROR(INDEX(Cost!$I$5:$I$11,MATCH($B226,Cost!$H$5:$H$11,0)),0)/Cost!$D$5)</f>
        <v>0</v>
      </c>
      <c r="O226" s="19" t="n">
        <f aca="false">IF($W226="",0,IF(INDEX('Flow Curves'!$A$5:$A$11,$X226)=INDEX('Flow Curves'!$A$5:$A$11,$W226),$Y226,$Y226+($Z226-$Y226)*(MAX(10,MIN(150,$C226))-INDEX('Flow Curves'!$A$5:$A$11,$W226))/(INDEX('Flow Curves'!$A$5:$A$11,$X226)-INDEX('Flow Curves'!$A$5:$A$11,$W226))))</f>
        <v>0</v>
      </c>
      <c r="P226" s="20" t="n">
        <f aca="false">IF(OR($B226="Air",$B226="Open Blow"),$O226*60*Cost!$D$16*Cost!$D$17/Cost!$D$5*Cost!$D$13,0)</f>
        <v>0</v>
      </c>
      <c r="Q226" s="17"/>
      <c r="U226" s="16" t="str">
        <f aca="false">IF($D226="","",IF(ISNA(MATCH($B226,Cost!$H$5:$H$11,0)),"CHECK GAS TYPE",IF(OR($C226&lt;10,$C226&gt;150),"CHECK PRESSURE: outside 10-150 psi table",IF(OR($D226&lt;1,$D226&gt;120),"CHECK dB: outside 1-120 table",IF(ISNA(MATCH($C226,'Flow Curves'!$A$5:$A$11,0)),"INTERPOLATED between curves","Table curve")))))</f>
        <v/>
      </c>
      <c r="W226" s="2" t="str">
        <f aca="false">IF(OR($D226="",$C226=""),"",MATCH(MAX(10,MIN(150,$C226)),'Flow Curves'!$A$5:$A$11,1))</f>
        <v/>
      </c>
      <c r="X226" s="2" t="str">
        <f aca="false">IF($W226="","",MIN($W226+1,7))</f>
        <v/>
      </c>
      <c r="Y226" s="2" t="str">
        <f aca="false">IF($W226="","",INDEX('Flow Curves'!$B$5:$B$11,$W226)*POWER($D226,INDEX('Flow Curves'!$C$5:$C$11,$W226)))</f>
        <v/>
      </c>
      <c r="Z226" s="2" t="str">
        <f aca="false">IF($W226="","",INDEX('Flow Curves'!$B$5:$B$11,$X226)*POWER($D226,INDEX('Flow Curves'!$C$5:$C$11,$X226)))</f>
        <v/>
      </c>
    </row>
    <row r="227" customFormat="false" ht="15" hidden="false" customHeight="false" outlineLevel="0" collapsed="false">
      <c r="A227" s="16" t="n">
        <v>220</v>
      </c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8" t="n">
        <f aca="false">IF($O227=0,0,$O227*60*Cost!$D$16*Cost!$D$17*IFERROR(INDEX(Cost!$I$5:$I$11,MATCH($B227,Cost!$H$5:$H$11,0)),0)/Cost!$D$5)</f>
        <v>0</v>
      </c>
      <c r="O227" s="19" t="n">
        <f aca="false">IF($W227="",0,IF(INDEX('Flow Curves'!$A$5:$A$11,$X227)=INDEX('Flow Curves'!$A$5:$A$11,$W227),$Y227,$Y227+($Z227-$Y227)*(MAX(10,MIN(150,$C227))-INDEX('Flow Curves'!$A$5:$A$11,$W227))/(INDEX('Flow Curves'!$A$5:$A$11,$X227)-INDEX('Flow Curves'!$A$5:$A$11,$W227))))</f>
        <v>0</v>
      </c>
      <c r="P227" s="20" t="n">
        <f aca="false">IF(OR($B227="Air",$B227="Open Blow"),$O227*60*Cost!$D$16*Cost!$D$17/Cost!$D$5*Cost!$D$13,0)</f>
        <v>0</v>
      </c>
      <c r="Q227" s="17"/>
      <c r="U227" s="16" t="str">
        <f aca="false">IF($D227="","",IF(ISNA(MATCH($B227,Cost!$H$5:$H$11,0)),"CHECK GAS TYPE",IF(OR($C227&lt;10,$C227&gt;150),"CHECK PRESSURE: outside 10-150 psi table",IF(OR($D227&lt;1,$D227&gt;120),"CHECK dB: outside 1-120 table",IF(ISNA(MATCH($C227,'Flow Curves'!$A$5:$A$11,0)),"INTERPOLATED between curves","Table curve")))))</f>
        <v/>
      </c>
      <c r="W227" s="2" t="str">
        <f aca="false">IF(OR($D227="",$C227=""),"",MATCH(MAX(10,MIN(150,$C227)),'Flow Curves'!$A$5:$A$11,1))</f>
        <v/>
      </c>
      <c r="X227" s="2" t="str">
        <f aca="false">IF($W227="","",MIN($W227+1,7))</f>
        <v/>
      </c>
      <c r="Y227" s="2" t="str">
        <f aca="false">IF($W227="","",INDEX('Flow Curves'!$B$5:$B$11,$W227)*POWER($D227,INDEX('Flow Curves'!$C$5:$C$11,$W227)))</f>
        <v/>
      </c>
      <c r="Z227" s="2" t="str">
        <f aca="false">IF($W227="","",INDEX('Flow Curves'!$B$5:$B$11,$X227)*POWER($D227,INDEX('Flow Curves'!$C$5:$C$11,$X227)))</f>
        <v/>
      </c>
    </row>
    <row r="228" customFormat="false" ht="15" hidden="false" customHeight="false" outlineLevel="0" collapsed="false">
      <c r="A228" s="16" t="n">
        <v>221</v>
      </c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8" t="n">
        <f aca="false">IF($O228=0,0,$O228*60*Cost!$D$16*Cost!$D$17*IFERROR(INDEX(Cost!$I$5:$I$11,MATCH($B228,Cost!$H$5:$H$11,0)),0)/Cost!$D$5)</f>
        <v>0</v>
      </c>
      <c r="O228" s="19" t="n">
        <f aca="false">IF($W228="",0,IF(INDEX('Flow Curves'!$A$5:$A$11,$X228)=INDEX('Flow Curves'!$A$5:$A$11,$W228),$Y228,$Y228+($Z228-$Y228)*(MAX(10,MIN(150,$C228))-INDEX('Flow Curves'!$A$5:$A$11,$W228))/(INDEX('Flow Curves'!$A$5:$A$11,$X228)-INDEX('Flow Curves'!$A$5:$A$11,$W228))))</f>
        <v>0</v>
      </c>
      <c r="P228" s="20" t="n">
        <f aca="false">IF(OR($B228="Air",$B228="Open Blow"),$O228*60*Cost!$D$16*Cost!$D$17/Cost!$D$5*Cost!$D$13,0)</f>
        <v>0</v>
      </c>
      <c r="Q228" s="17"/>
      <c r="U228" s="16" t="str">
        <f aca="false">IF($D228="","",IF(ISNA(MATCH($B228,Cost!$H$5:$H$11,0)),"CHECK GAS TYPE",IF(OR($C228&lt;10,$C228&gt;150),"CHECK PRESSURE: outside 10-150 psi table",IF(OR($D228&lt;1,$D228&gt;120),"CHECK dB: outside 1-120 table",IF(ISNA(MATCH($C228,'Flow Curves'!$A$5:$A$11,0)),"INTERPOLATED between curves","Table curve")))))</f>
        <v/>
      </c>
      <c r="W228" s="2" t="str">
        <f aca="false">IF(OR($D228="",$C228=""),"",MATCH(MAX(10,MIN(150,$C228)),'Flow Curves'!$A$5:$A$11,1))</f>
        <v/>
      </c>
      <c r="X228" s="2" t="str">
        <f aca="false">IF($W228="","",MIN($W228+1,7))</f>
        <v/>
      </c>
      <c r="Y228" s="2" t="str">
        <f aca="false">IF($W228="","",INDEX('Flow Curves'!$B$5:$B$11,$W228)*POWER($D228,INDEX('Flow Curves'!$C$5:$C$11,$W228)))</f>
        <v/>
      </c>
      <c r="Z228" s="2" t="str">
        <f aca="false">IF($W228="","",INDEX('Flow Curves'!$B$5:$B$11,$X228)*POWER($D228,INDEX('Flow Curves'!$C$5:$C$11,$X228)))</f>
        <v/>
      </c>
    </row>
    <row r="229" customFormat="false" ht="15" hidden="false" customHeight="false" outlineLevel="0" collapsed="false">
      <c r="A229" s="16" t="n">
        <v>222</v>
      </c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8" t="n">
        <f aca="false">IF($O229=0,0,$O229*60*Cost!$D$16*Cost!$D$17*IFERROR(INDEX(Cost!$I$5:$I$11,MATCH($B229,Cost!$H$5:$H$11,0)),0)/Cost!$D$5)</f>
        <v>0</v>
      </c>
      <c r="O229" s="19" t="n">
        <f aca="false">IF($W229="",0,IF(INDEX('Flow Curves'!$A$5:$A$11,$X229)=INDEX('Flow Curves'!$A$5:$A$11,$W229),$Y229,$Y229+($Z229-$Y229)*(MAX(10,MIN(150,$C229))-INDEX('Flow Curves'!$A$5:$A$11,$W229))/(INDEX('Flow Curves'!$A$5:$A$11,$X229)-INDEX('Flow Curves'!$A$5:$A$11,$W229))))</f>
        <v>0</v>
      </c>
      <c r="P229" s="20" t="n">
        <f aca="false">IF(OR($B229="Air",$B229="Open Blow"),$O229*60*Cost!$D$16*Cost!$D$17/Cost!$D$5*Cost!$D$13,0)</f>
        <v>0</v>
      </c>
      <c r="Q229" s="17"/>
      <c r="U229" s="16" t="str">
        <f aca="false">IF($D229="","",IF(ISNA(MATCH($B229,Cost!$H$5:$H$11,0)),"CHECK GAS TYPE",IF(OR($C229&lt;10,$C229&gt;150),"CHECK PRESSURE: outside 10-150 psi table",IF(OR($D229&lt;1,$D229&gt;120),"CHECK dB: outside 1-120 table",IF(ISNA(MATCH($C229,'Flow Curves'!$A$5:$A$11,0)),"INTERPOLATED between curves","Table curve")))))</f>
        <v/>
      </c>
      <c r="W229" s="2" t="str">
        <f aca="false">IF(OR($D229="",$C229=""),"",MATCH(MAX(10,MIN(150,$C229)),'Flow Curves'!$A$5:$A$11,1))</f>
        <v/>
      </c>
      <c r="X229" s="2" t="str">
        <f aca="false">IF($W229="","",MIN($W229+1,7))</f>
        <v/>
      </c>
      <c r="Y229" s="2" t="str">
        <f aca="false">IF($W229="","",INDEX('Flow Curves'!$B$5:$B$11,$W229)*POWER($D229,INDEX('Flow Curves'!$C$5:$C$11,$W229)))</f>
        <v/>
      </c>
      <c r="Z229" s="2" t="str">
        <f aca="false">IF($W229="","",INDEX('Flow Curves'!$B$5:$B$11,$X229)*POWER($D229,INDEX('Flow Curves'!$C$5:$C$11,$X229)))</f>
        <v/>
      </c>
    </row>
    <row r="230" customFormat="false" ht="15" hidden="false" customHeight="false" outlineLevel="0" collapsed="false">
      <c r="A230" s="16" t="n">
        <v>223</v>
      </c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8" t="n">
        <f aca="false">IF($O230=0,0,$O230*60*Cost!$D$16*Cost!$D$17*IFERROR(INDEX(Cost!$I$5:$I$11,MATCH($B230,Cost!$H$5:$H$11,0)),0)/Cost!$D$5)</f>
        <v>0</v>
      </c>
      <c r="O230" s="19" t="n">
        <f aca="false">IF($W230="",0,IF(INDEX('Flow Curves'!$A$5:$A$11,$X230)=INDEX('Flow Curves'!$A$5:$A$11,$W230),$Y230,$Y230+($Z230-$Y230)*(MAX(10,MIN(150,$C230))-INDEX('Flow Curves'!$A$5:$A$11,$W230))/(INDEX('Flow Curves'!$A$5:$A$11,$X230)-INDEX('Flow Curves'!$A$5:$A$11,$W230))))</f>
        <v>0</v>
      </c>
      <c r="P230" s="20" t="n">
        <f aca="false">IF(OR($B230="Air",$B230="Open Blow"),$O230*60*Cost!$D$16*Cost!$D$17/Cost!$D$5*Cost!$D$13,0)</f>
        <v>0</v>
      </c>
      <c r="Q230" s="17"/>
      <c r="U230" s="16" t="str">
        <f aca="false">IF($D230="","",IF(ISNA(MATCH($B230,Cost!$H$5:$H$11,0)),"CHECK GAS TYPE",IF(OR($C230&lt;10,$C230&gt;150),"CHECK PRESSURE: outside 10-150 psi table",IF(OR($D230&lt;1,$D230&gt;120),"CHECK dB: outside 1-120 table",IF(ISNA(MATCH($C230,'Flow Curves'!$A$5:$A$11,0)),"INTERPOLATED between curves","Table curve")))))</f>
        <v/>
      </c>
      <c r="W230" s="2" t="str">
        <f aca="false">IF(OR($D230="",$C230=""),"",MATCH(MAX(10,MIN(150,$C230)),'Flow Curves'!$A$5:$A$11,1))</f>
        <v/>
      </c>
      <c r="X230" s="2" t="str">
        <f aca="false">IF($W230="","",MIN($W230+1,7))</f>
        <v/>
      </c>
      <c r="Y230" s="2" t="str">
        <f aca="false">IF($W230="","",INDEX('Flow Curves'!$B$5:$B$11,$W230)*POWER($D230,INDEX('Flow Curves'!$C$5:$C$11,$W230)))</f>
        <v/>
      </c>
      <c r="Z230" s="2" t="str">
        <f aca="false">IF($W230="","",INDEX('Flow Curves'!$B$5:$B$11,$X230)*POWER($D230,INDEX('Flow Curves'!$C$5:$C$11,$X230)))</f>
        <v/>
      </c>
    </row>
    <row r="231" customFormat="false" ht="15" hidden="false" customHeight="false" outlineLevel="0" collapsed="false">
      <c r="A231" s="16" t="n">
        <v>224</v>
      </c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8" t="n">
        <f aca="false">IF($O231=0,0,$O231*60*Cost!$D$16*Cost!$D$17*IFERROR(INDEX(Cost!$I$5:$I$11,MATCH($B231,Cost!$H$5:$H$11,0)),0)/Cost!$D$5)</f>
        <v>0</v>
      </c>
      <c r="O231" s="19" t="n">
        <f aca="false">IF($W231="",0,IF(INDEX('Flow Curves'!$A$5:$A$11,$X231)=INDEX('Flow Curves'!$A$5:$A$11,$W231),$Y231,$Y231+($Z231-$Y231)*(MAX(10,MIN(150,$C231))-INDEX('Flow Curves'!$A$5:$A$11,$W231))/(INDEX('Flow Curves'!$A$5:$A$11,$X231)-INDEX('Flow Curves'!$A$5:$A$11,$W231))))</f>
        <v>0</v>
      </c>
      <c r="P231" s="20" t="n">
        <f aca="false">IF(OR($B231="Air",$B231="Open Blow"),$O231*60*Cost!$D$16*Cost!$D$17/Cost!$D$5*Cost!$D$13,0)</f>
        <v>0</v>
      </c>
      <c r="Q231" s="17"/>
      <c r="U231" s="16" t="str">
        <f aca="false">IF($D231="","",IF(ISNA(MATCH($B231,Cost!$H$5:$H$11,0)),"CHECK GAS TYPE",IF(OR($C231&lt;10,$C231&gt;150),"CHECK PRESSURE: outside 10-150 psi table",IF(OR($D231&lt;1,$D231&gt;120),"CHECK dB: outside 1-120 table",IF(ISNA(MATCH($C231,'Flow Curves'!$A$5:$A$11,0)),"INTERPOLATED between curves","Table curve")))))</f>
        <v/>
      </c>
      <c r="W231" s="2" t="str">
        <f aca="false">IF(OR($D231="",$C231=""),"",MATCH(MAX(10,MIN(150,$C231)),'Flow Curves'!$A$5:$A$11,1))</f>
        <v/>
      </c>
      <c r="X231" s="2" t="str">
        <f aca="false">IF($W231="","",MIN($W231+1,7))</f>
        <v/>
      </c>
      <c r="Y231" s="2" t="str">
        <f aca="false">IF($W231="","",INDEX('Flow Curves'!$B$5:$B$11,$W231)*POWER($D231,INDEX('Flow Curves'!$C$5:$C$11,$W231)))</f>
        <v/>
      </c>
      <c r="Z231" s="2" t="str">
        <f aca="false">IF($W231="","",INDEX('Flow Curves'!$B$5:$B$11,$X231)*POWER($D231,INDEX('Flow Curves'!$C$5:$C$11,$X231)))</f>
        <v/>
      </c>
    </row>
    <row r="232" customFormat="false" ht="15" hidden="false" customHeight="false" outlineLevel="0" collapsed="false">
      <c r="A232" s="16" t="n">
        <v>225</v>
      </c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8" t="n">
        <f aca="false">IF($O232=0,0,$O232*60*Cost!$D$16*Cost!$D$17*IFERROR(INDEX(Cost!$I$5:$I$11,MATCH($B232,Cost!$H$5:$H$11,0)),0)/Cost!$D$5)</f>
        <v>0</v>
      </c>
      <c r="O232" s="19" t="n">
        <f aca="false">IF($W232="",0,IF(INDEX('Flow Curves'!$A$5:$A$11,$X232)=INDEX('Flow Curves'!$A$5:$A$11,$W232),$Y232,$Y232+($Z232-$Y232)*(MAX(10,MIN(150,$C232))-INDEX('Flow Curves'!$A$5:$A$11,$W232))/(INDEX('Flow Curves'!$A$5:$A$11,$X232)-INDEX('Flow Curves'!$A$5:$A$11,$W232))))</f>
        <v>0</v>
      </c>
      <c r="P232" s="20" t="n">
        <f aca="false">IF(OR($B232="Air",$B232="Open Blow"),$O232*60*Cost!$D$16*Cost!$D$17/Cost!$D$5*Cost!$D$13,0)</f>
        <v>0</v>
      </c>
      <c r="Q232" s="17"/>
      <c r="U232" s="16" t="str">
        <f aca="false">IF($D232="","",IF(ISNA(MATCH($B232,Cost!$H$5:$H$11,0)),"CHECK GAS TYPE",IF(OR($C232&lt;10,$C232&gt;150),"CHECK PRESSURE: outside 10-150 psi table",IF(OR($D232&lt;1,$D232&gt;120),"CHECK dB: outside 1-120 table",IF(ISNA(MATCH($C232,'Flow Curves'!$A$5:$A$11,0)),"INTERPOLATED between curves","Table curve")))))</f>
        <v/>
      </c>
      <c r="W232" s="2" t="str">
        <f aca="false">IF(OR($D232="",$C232=""),"",MATCH(MAX(10,MIN(150,$C232)),'Flow Curves'!$A$5:$A$11,1))</f>
        <v/>
      </c>
      <c r="X232" s="2" t="str">
        <f aca="false">IF($W232="","",MIN($W232+1,7))</f>
        <v/>
      </c>
      <c r="Y232" s="2" t="str">
        <f aca="false">IF($W232="","",INDEX('Flow Curves'!$B$5:$B$11,$W232)*POWER($D232,INDEX('Flow Curves'!$C$5:$C$11,$W232)))</f>
        <v/>
      </c>
      <c r="Z232" s="2" t="str">
        <f aca="false">IF($W232="","",INDEX('Flow Curves'!$B$5:$B$11,$X232)*POWER($D232,INDEX('Flow Curves'!$C$5:$C$11,$X232)))</f>
        <v/>
      </c>
    </row>
    <row r="233" customFormat="false" ht="15" hidden="false" customHeight="false" outlineLevel="0" collapsed="false">
      <c r="A233" s="16" t="n">
        <v>226</v>
      </c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8" t="n">
        <f aca="false">IF($O233=0,0,$O233*60*Cost!$D$16*Cost!$D$17*IFERROR(INDEX(Cost!$I$5:$I$11,MATCH($B233,Cost!$H$5:$H$11,0)),0)/Cost!$D$5)</f>
        <v>0</v>
      </c>
      <c r="O233" s="19" t="n">
        <f aca="false">IF($W233="",0,IF(INDEX('Flow Curves'!$A$5:$A$11,$X233)=INDEX('Flow Curves'!$A$5:$A$11,$W233),$Y233,$Y233+($Z233-$Y233)*(MAX(10,MIN(150,$C233))-INDEX('Flow Curves'!$A$5:$A$11,$W233))/(INDEX('Flow Curves'!$A$5:$A$11,$X233)-INDEX('Flow Curves'!$A$5:$A$11,$W233))))</f>
        <v>0</v>
      </c>
      <c r="P233" s="20" t="n">
        <f aca="false">IF(OR($B233="Air",$B233="Open Blow"),$O233*60*Cost!$D$16*Cost!$D$17/Cost!$D$5*Cost!$D$13,0)</f>
        <v>0</v>
      </c>
      <c r="Q233" s="17"/>
      <c r="U233" s="16" t="str">
        <f aca="false">IF($D233="","",IF(ISNA(MATCH($B233,Cost!$H$5:$H$11,0)),"CHECK GAS TYPE",IF(OR($C233&lt;10,$C233&gt;150),"CHECK PRESSURE: outside 10-150 psi table",IF(OR($D233&lt;1,$D233&gt;120),"CHECK dB: outside 1-120 table",IF(ISNA(MATCH($C233,'Flow Curves'!$A$5:$A$11,0)),"INTERPOLATED between curves","Table curve")))))</f>
        <v/>
      </c>
      <c r="W233" s="2" t="str">
        <f aca="false">IF(OR($D233="",$C233=""),"",MATCH(MAX(10,MIN(150,$C233)),'Flow Curves'!$A$5:$A$11,1))</f>
        <v/>
      </c>
      <c r="X233" s="2" t="str">
        <f aca="false">IF($W233="","",MIN($W233+1,7))</f>
        <v/>
      </c>
      <c r="Y233" s="2" t="str">
        <f aca="false">IF($W233="","",INDEX('Flow Curves'!$B$5:$B$11,$W233)*POWER($D233,INDEX('Flow Curves'!$C$5:$C$11,$W233)))</f>
        <v/>
      </c>
      <c r="Z233" s="2" t="str">
        <f aca="false">IF($W233="","",INDEX('Flow Curves'!$B$5:$B$11,$X233)*POWER($D233,INDEX('Flow Curves'!$C$5:$C$11,$X233)))</f>
        <v/>
      </c>
    </row>
    <row r="234" customFormat="false" ht="15" hidden="false" customHeight="false" outlineLevel="0" collapsed="false">
      <c r="A234" s="16" t="n">
        <v>227</v>
      </c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8" t="n">
        <f aca="false">IF($O234=0,0,$O234*60*Cost!$D$16*Cost!$D$17*IFERROR(INDEX(Cost!$I$5:$I$11,MATCH($B234,Cost!$H$5:$H$11,0)),0)/Cost!$D$5)</f>
        <v>0</v>
      </c>
      <c r="O234" s="19" t="n">
        <f aca="false">IF($W234="",0,IF(INDEX('Flow Curves'!$A$5:$A$11,$X234)=INDEX('Flow Curves'!$A$5:$A$11,$W234),$Y234,$Y234+($Z234-$Y234)*(MAX(10,MIN(150,$C234))-INDEX('Flow Curves'!$A$5:$A$11,$W234))/(INDEX('Flow Curves'!$A$5:$A$11,$X234)-INDEX('Flow Curves'!$A$5:$A$11,$W234))))</f>
        <v>0</v>
      </c>
      <c r="P234" s="20" t="n">
        <f aca="false">IF(OR($B234="Air",$B234="Open Blow"),$O234*60*Cost!$D$16*Cost!$D$17/Cost!$D$5*Cost!$D$13,0)</f>
        <v>0</v>
      </c>
      <c r="Q234" s="17"/>
      <c r="U234" s="16" t="str">
        <f aca="false">IF($D234="","",IF(ISNA(MATCH($B234,Cost!$H$5:$H$11,0)),"CHECK GAS TYPE",IF(OR($C234&lt;10,$C234&gt;150),"CHECK PRESSURE: outside 10-150 psi table",IF(OR($D234&lt;1,$D234&gt;120),"CHECK dB: outside 1-120 table",IF(ISNA(MATCH($C234,'Flow Curves'!$A$5:$A$11,0)),"INTERPOLATED between curves","Table curve")))))</f>
        <v/>
      </c>
      <c r="W234" s="2" t="str">
        <f aca="false">IF(OR($D234="",$C234=""),"",MATCH(MAX(10,MIN(150,$C234)),'Flow Curves'!$A$5:$A$11,1))</f>
        <v/>
      </c>
      <c r="X234" s="2" t="str">
        <f aca="false">IF($W234="","",MIN($W234+1,7))</f>
        <v/>
      </c>
      <c r="Y234" s="2" t="str">
        <f aca="false">IF($W234="","",INDEX('Flow Curves'!$B$5:$B$11,$W234)*POWER($D234,INDEX('Flow Curves'!$C$5:$C$11,$W234)))</f>
        <v/>
      </c>
      <c r="Z234" s="2" t="str">
        <f aca="false">IF($W234="","",INDEX('Flow Curves'!$B$5:$B$11,$X234)*POWER($D234,INDEX('Flow Curves'!$C$5:$C$11,$X234)))</f>
        <v/>
      </c>
    </row>
    <row r="235" customFormat="false" ht="15" hidden="false" customHeight="false" outlineLevel="0" collapsed="false">
      <c r="A235" s="16" t="n">
        <v>228</v>
      </c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8" t="n">
        <f aca="false">IF($O235=0,0,$O235*60*Cost!$D$16*Cost!$D$17*IFERROR(INDEX(Cost!$I$5:$I$11,MATCH($B235,Cost!$H$5:$H$11,0)),0)/Cost!$D$5)</f>
        <v>0</v>
      </c>
      <c r="O235" s="19" t="n">
        <f aca="false">IF($W235="",0,IF(INDEX('Flow Curves'!$A$5:$A$11,$X235)=INDEX('Flow Curves'!$A$5:$A$11,$W235),$Y235,$Y235+($Z235-$Y235)*(MAX(10,MIN(150,$C235))-INDEX('Flow Curves'!$A$5:$A$11,$W235))/(INDEX('Flow Curves'!$A$5:$A$11,$X235)-INDEX('Flow Curves'!$A$5:$A$11,$W235))))</f>
        <v>0</v>
      </c>
      <c r="P235" s="20" t="n">
        <f aca="false">IF(OR($B235="Air",$B235="Open Blow"),$O235*60*Cost!$D$16*Cost!$D$17/Cost!$D$5*Cost!$D$13,0)</f>
        <v>0</v>
      </c>
      <c r="Q235" s="17"/>
      <c r="U235" s="16" t="str">
        <f aca="false">IF($D235="","",IF(ISNA(MATCH($B235,Cost!$H$5:$H$11,0)),"CHECK GAS TYPE",IF(OR($C235&lt;10,$C235&gt;150),"CHECK PRESSURE: outside 10-150 psi table",IF(OR($D235&lt;1,$D235&gt;120),"CHECK dB: outside 1-120 table",IF(ISNA(MATCH($C235,'Flow Curves'!$A$5:$A$11,0)),"INTERPOLATED between curves","Table curve")))))</f>
        <v/>
      </c>
      <c r="W235" s="2" t="str">
        <f aca="false">IF(OR($D235="",$C235=""),"",MATCH(MAX(10,MIN(150,$C235)),'Flow Curves'!$A$5:$A$11,1))</f>
        <v/>
      </c>
      <c r="X235" s="2" t="str">
        <f aca="false">IF($W235="","",MIN($W235+1,7))</f>
        <v/>
      </c>
      <c r="Y235" s="2" t="str">
        <f aca="false">IF($W235="","",INDEX('Flow Curves'!$B$5:$B$11,$W235)*POWER($D235,INDEX('Flow Curves'!$C$5:$C$11,$W235)))</f>
        <v/>
      </c>
      <c r="Z235" s="2" t="str">
        <f aca="false">IF($W235="","",INDEX('Flow Curves'!$B$5:$B$11,$X235)*POWER($D235,INDEX('Flow Curves'!$C$5:$C$11,$X235)))</f>
        <v/>
      </c>
    </row>
    <row r="236" customFormat="false" ht="15" hidden="false" customHeight="false" outlineLevel="0" collapsed="false">
      <c r="A236" s="16" t="n">
        <v>229</v>
      </c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8" t="n">
        <f aca="false">IF($O236=0,0,$O236*60*Cost!$D$16*Cost!$D$17*IFERROR(INDEX(Cost!$I$5:$I$11,MATCH($B236,Cost!$H$5:$H$11,0)),0)/Cost!$D$5)</f>
        <v>0</v>
      </c>
      <c r="O236" s="19" t="n">
        <f aca="false">IF($W236="",0,IF(INDEX('Flow Curves'!$A$5:$A$11,$X236)=INDEX('Flow Curves'!$A$5:$A$11,$W236),$Y236,$Y236+($Z236-$Y236)*(MAX(10,MIN(150,$C236))-INDEX('Flow Curves'!$A$5:$A$11,$W236))/(INDEX('Flow Curves'!$A$5:$A$11,$X236)-INDEX('Flow Curves'!$A$5:$A$11,$W236))))</f>
        <v>0</v>
      </c>
      <c r="P236" s="20" t="n">
        <f aca="false">IF(OR($B236="Air",$B236="Open Blow"),$O236*60*Cost!$D$16*Cost!$D$17/Cost!$D$5*Cost!$D$13,0)</f>
        <v>0</v>
      </c>
      <c r="Q236" s="17"/>
      <c r="U236" s="16" t="str">
        <f aca="false">IF($D236="","",IF(ISNA(MATCH($B236,Cost!$H$5:$H$11,0)),"CHECK GAS TYPE",IF(OR($C236&lt;10,$C236&gt;150),"CHECK PRESSURE: outside 10-150 psi table",IF(OR($D236&lt;1,$D236&gt;120),"CHECK dB: outside 1-120 table",IF(ISNA(MATCH($C236,'Flow Curves'!$A$5:$A$11,0)),"INTERPOLATED between curves","Table curve")))))</f>
        <v/>
      </c>
      <c r="W236" s="2" t="str">
        <f aca="false">IF(OR($D236="",$C236=""),"",MATCH(MAX(10,MIN(150,$C236)),'Flow Curves'!$A$5:$A$11,1))</f>
        <v/>
      </c>
      <c r="X236" s="2" t="str">
        <f aca="false">IF($W236="","",MIN($W236+1,7))</f>
        <v/>
      </c>
      <c r="Y236" s="2" t="str">
        <f aca="false">IF($W236="","",INDEX('Flow Curves'!$B$5:$B$11,$W236)*POWER($D236,INDEX('Flow Curves'!$C$5:$C$11,$W236)))</f>
        <v/>
      </c>
      <c r="Z236" s="2" t="str">
        <f aca="false">IF($W236="","",INDEX('Flow Curves'!$B$5:$B$11,$X236)*POWER($D236,INDEX('Flow Curves'!$C$5:$C$11,$X236)))</f>
        <v/>
      </c>
    </row>
    <row r="237" customFormat="false" ht="15" hidden="false" customHeight="false" outlineLevel="0" collapsed="false">
      <c r="A237" s="16" t="n">
        <v>230</v>
      </c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8" t="n">
        <f aca="false">IF($O237=0,0,$O237*60*Cost!$D$16*Cost!$D$17*IFERROR(INDEX(Cost!$I$5:$I$11,MATCH($B237,Cost!$H$5:$H$11,0)),0)/Cost!$D$5)</f>
        <v>0</v>
      </c>
      <c r="O237" s="19" t="n">
        <f aca="false">IF($W237="",0,IF(INDEX('Flow Curves'!$A$5:$A$11,$X237)=INDEX('Flow Curves'!$A$5:$A$11,$W237),$Y237,$Y237+($Z237-$Y237)*(MAX(10,MIN(150,$C237))-INDEX('Flow Curves'!$A$5:$A$11,$W237))/(INDEX('Flow Curves'!$A$5:$A$11,$X237)-INDEX('Flow Curves'!$A$5:$A$11,$W237))))</f>
        <v>0</v>
      </c>
      <c r="P237" s="20" t="n">
        <f aca="false">IF(OR($B237="Air",$B237="Open Blow"),$O237*60*Cost!$D$16*Cost!$D$17/Cost!$D$5*Cost!$D$13,0)</f>
        <v>0</v>
      </c>
      <c r="Q237" s="17"/>
      <c r="U237" s="16" t="str">
        <f aca="false">IF($D237="","",IF(ISNA(MATCH($B237,Cost!$H$5:$H$11,0)),"CHECK GAS TYPE",IF(OR($C237&lt;10,$C237&gt;150),"CHECK PRESSURE: outside 10-150 psi table",IF(OR($D237&lt;1,$D237&gt;120),"CHECK dB: outside 1-120 table",IF(ISNA(MATCH($C237,'Flow Curves'!$A$5:$A$11,0)),"INTERPOLATED between curves","Table curve")))))</f>
        <v/>
      </c>
      <c r="W237" s="2" t="str">
        <f aca="false">IF(OR($D237="",$C237=""),"",MATCH(MAX(10,MIN(150,$C237)),'Flow Curves'!$A$5:$A$11,1))</f>
        <v/>
      </c>
      <c r="X237" s="2" t="str">
        <f aca="false">IF($W237="","",MIN($W237+1,7))</f>
        <v/>
      </c>
      <c r="Y237" s="2" t="str">
        <f aca="false">IF($W237="","",INDEX('Flow Curves'!$B$5:$B$11,$W237)*POWER($D237,INDEX('Flow Curves'!$C$5:$C$11,$W237)))</f>
        <v/>
      </c>
      <c r="Z237" s="2" t="str">
        <f aca="false">IF($W237="","",INDEX('Flow Curves'!$B$5:$B$11,$X237)*POWER($D237,INDEX('Flow Curves'!$C$5:$C$11,$X237)))</f>
        <v/>
      </c>
    </row>
    <row r="238" customFormat="false" ht="15" hidden="false" customHeight="false" outlineLevel="0" collapsed="false">
      <c r="A238" s="16" t="n">
        <v>231</v>
      </c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8" t="n">
        <f aca="false">IF($O238=0,0,$O238*60*Cost!$D$16*Cost!$D$17*IFERROR(INDEX(Cost!$I$5:$I$11,MATCH($B238,Cost!$H$5:$H$11,0)),0)/Cost!$D$5)</f>
        <v>0</v>
      </c>
      <c r="O238" s="19" t="n">
        <f aca="false">IF($W238="",0,IF(INDEX('Flow Curves'!$A$5:$A$11,$X238)=INDEX('Flow Curves'!$A$5:$A$11,$W238),$Y238,$Y238+($Z238-$Y238)*(MAX(10,MIN(150,$C238))-INDEX('Flow Curves'!$A$5:$A$11,$W238))/(INDEX('Flow Curves'!$A$5:$A$11,$X238)-INDEX('Flow Curves'!$A$5:$A$11,$W238))))</f>
        <v>0</v>
      </c>
      <c r="P238" s="20" t="n">
        <f aca="false">IF(OR($B238="Air",$B238="Open Blow"),$O238*60*Cost!$D$16*Cost!$D$17/Cost!$D$5*Cost!$D$13,0)</f>
        <v>0</v>
      </c>
      <c r="Q238" s="17"/>
      <c r="U238" s="16" t="str">
        <f aca="false">IF($D238="","",IF(ISNA(MATCH($B238,Cost!$H$5:$H$11,0)),"CHECK GAS TYPE",IF(OR($C238&lt;10,$C238&gt;150),"CHECK PRESSURE: outside 10-150 psi table",IF(OR($D238&lt;1,$D238&gt;120),"CHECK dB: outside 1-120 table",IF(ISNA(MATCH($C238,'Flow Curves'!$A$5:$A$11,0)),"INTERPOLATED between curves","Table curve")))))</f>
        <v/>
      </c>
      <c r="W238" s="2" t="str">
        <f aca="false">IF(OR($D238="",$C238=""),"",MATCH(MAX(10,MIN(150,$C238)),'Flow Curves'!$A$5:$A$11,1))</f>
        <v/>
      </c>
      <c r="X238" s="2" t="str">
        <f aca="false">IF($W238="","",MIN($W238+1,7))</f>
        <v/>
      </c>
      <c r="Y238" s="2" t="str">
        <f aca="false">IF($W238="","",INDEX('Flow Curves'!$B$5:$B$11,$W238)*POWER($D238,INDEX('Flow Curves'!$C$5:$C$11,$W238)))</f>
        <v/>
      </c>
      <c r="Z238" s="2" t="str">
        <f aca="false">IF($W238="","",INDEX('Flow Curves'!$B$5:$B$11,$X238)*POWER($D238,INDEX('Flow Curves'!$C$5:$C$11,$X238)))</f>
        <v/>
      </c>
    </row>
    <row r="239" customFormat="false" ht="15" hidden="false" customHeight="false" outlineLevel="0" collapsed="false">
      <c r="A239" s="16" t="n">
        <v>232</v>
      </c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8" t="n">
        <f aca="false">IF($O239=0,0,$O239*60*Cost!$D$16*Cost!$D$17*IFERROR(INDEX(Cost!$I$5:$I$11,MATCH($B239,Cost!$H$5:$H$11,0)),0)/Cost!$D$5)</f>
        <v>0</v>
      </c>
      <c r="O239" s="19" t="n">
        <f aca="false">IF($W239="",0,IF(INDEX('Flow Curves'!$A$5:$A$11,$X239)=INDEX('Flow Curves'!$A$5:$A$11,$W239),$Y239,$Y239+($Z239-$Y239)*(MAX(10,MIN(150,$C239))-INDEX('Flow Curves'!$A$5:$A$11,$W239))/(INDEX('Flow Curves'!$A$5:$A$11,$X239)-INDEX('Flow Curves'!$A$5:$A$11,$W239))))</f>
        <v>0</v>
      </c>
      <c r="P239" s="20" t="n">
        <f aca="false">IF(OR($B239="Air",$B239="Open Blow"),$O239*60*Cost!$D$16*Cost!$D$17/Cost!$D$5*Cost!$D$13,0)</f>
        <v>0</v>
      </c>
      <c r="Q239" s="17"/>
      <c r="U239" s="16" t="str">
        <f aca="false">IF($D239="","",IF(ISNA(MATCH($B239,Cost!$H$5:$H$11,0)),"CHECK GAS TYPE",IF(OR($C239&lt;10,$C239&gt;150),"CHECK PRESSURE: outside 10-150 psi table",IF(OR($D239&lt;1,$D239&gt;120),"CHECK dB: outside 1-120 table",IF(ISNA(MATCH($C239,'Flow Curves'!$A$5:$A$11,0)),"INTERPOLATED between curves","Table curve")))))</f>
        <v/>
      </c>
      <c r="W239" s="2" t="str">
        <f aca="false">IF(OR($D239="",$C239=""),"",MATCH(MAX(10,MIN(150,$C239)),'Flow Curves'!$A$5:$A$11,1))</f>
        <v/>
      </c>
      <c r="X239" s="2" t="str">
        <f aca="false">IF($W239="","",MIN($W239+1,7))</f>
        <v/>
      </c>
      <c r="Y239" s="2" t="str">
        <f aca="false">IF($W239="","",INDEX('Flow Curves'!$B$5:$B$11,$W239)*POWER($D239,INDEX('Flow Curves'!$C$5:$C$11,$W239)))</f>
        <v/>
      </c>
      <c r="Z239" s="2" t="str">
        <f aca="false">IF($W239="","",INDEX('Flow Curves'!$B$5:$B$11,$X239)*POWER($D239,INDEX('Flow Curves'!$C$5:$C$11,$X239)))</f>
        <v/>
      </c>
    </row>
    <row r="240" customFormat="false" ht="15" hidden="false" customHeight="false" outlineLevel="0" collapsed="false">
      <c r="A240" s="16" t="n">
        <v>233</v>
      </c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8" t="n">
        <f aca="false">IF($O240=0,0,$O240*60*Cost!$D$16*Cost!$D$17*IFERROR(INDEX(Cost!$I$5:$I$11,MATCH($B240,Cost!$H$5:$H$11,0)),0)/Cost!$D$5)</f>
        <v>0</v>
      </c>
      <c r="O240" s="19" t="n">
        <f aca="false">IF($W240="",0,IF(INDEX('Flow Curves'!$A$5:$A$11,$X240)=INDEX('Flow Curves'!$A$5:$A$11,$W240),$Y240,$Y240+($Z240-$Y240)*(MAX(10,MIN(150,$C240))-INDEX('Flow Curves'!$A$5:$A$11,$W240))/(INDEX('Flow Curves'!$A$5:$A$11,$X240)-INDEX('Flow Curves'!$A$5:$A$11,$W240))))</f>
        <v>0</v>
      </c>
      <c r="P240" s="20" t="n">
        <f aca="false">IF(OR($B240="Air",$B240="Open Blow"),$O240*60*Cost!$D$16*Cost!$D$17/Cost!$D$5*Cost!$D$13,0)</f>
        <v>0</v>
      </c>
      <c r="Q240" s="17"/>
      <c r="U240" s="16" t="str">
        <f aca="false">IF($D240="","",IF(ISNA(MATCH($B240,Cost!$H$5:$H$11,0)),"CHECK GAS TYPE",IF(OR($C240&lt;10,$C240&gt;150),"CHECK PRESSURE: outside 10-150 psi table",IF(OR($D240&lt;1,$D240&gt;120),"CHECK dB: outside 1-120 table",IF(ISNA(MATCH($C240,'Flow Curves'!$A$5:$A$11,0)),"INTERPOLATED between curves","Table curve")))))</f>
        <v/>
      </c>
      <c r="W240" s="2" t="str">
        <f aca="false">IF(OR($D240="",$C240=""),"",MATCH(MAX(10,MIN(150,$C240)),'Flow Curves'!$A$5:$A$11,1))</f>
        <v/>
      </c>
      <c r="X240" s="2" t="str">
        <f aca="false">IF($W240="","",MIN($W240+1,7))</f>
        <v/>
      </c>
      <c r="Y240" s="2" t="str">
        <f aca="false">IF($W240="","",INDEX('Flow Curves'!$B$5:$B$11,$W240)*POWER($D240,INDEX('Flow Curves'!$C$5:$C$11,$W240)))</f>
        <v/>
      </c>
      <c r="Z240" s="2" t="str">
        <f aca="false">IF($W240="","",INDEX('Flow Curves'!$B$5:$B$11,$X240)*POWER($D240,INDEX('Flow Curves'!$C$5:$C$11,$X240)))</f>
        <v/>
      </c>
    </row>
    <row r="241" customFormat="false" ht="15" hidden="false" customHeight="false" outlineLevel="0" collapsed="false">
      <c r="A241" s="16" t="n">
        <v>234</v>
      </c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8" t="n">
        <f aca="false">IF($O241=0,0,$O241*60*Cost!$D$16*Cost!$D$17*IFERROR(INDEX(Cost!$I$5:$I$11,MATCH($B241,Cost!$H$5:$H$11,0)),0)/Cost!$D$5)</f>
        <v>0</v>
      </c>
      <c r="O241" s="19" t="n">
        <f aca="false">IF($W241="",0,IF(INDEX('Flow Curves'!$A$5:$A$11,$X241)=INDEX('Flow Curves'!$A$5:$A$11,$W241),$Y241,$Y241+($Z241-$Y241)*(MAX(10,MIN(150,$C241))-INDEX('Flow Curves'!$A$5:$A$11,$W241))/(INDEX('Flow Curves'!$A$5:$A$11,$X241)-INDEX('Flow Curves'!$A$5:$A$11,$W241))))</f>
        <v>0</v>
      </c>
      <c r="P241" s="20" t="n">
        <f aca="false">IF(OR($B241="Air",$B241="Open Blow"),$O241*60*Cost!$D$16*Cost!$D$17/Cost!$D$5*Cost!$D$13,0)</f>
        <v>0</v>
      </c>
      <c r="Q241" s="17"/>
      <c r="U241" s="16" t="str">
        <f aca="false">IF($D241="","",IF(ISNA(MATCH($B241,Cost!$H$5:$H$11,0)),"CHECK GAS TYPE",IF(OR($C241&lt;10,$C241&gt;150),"CHECK PRESSURE: outside 10-150 psi table",IF(OR($D241&lt;1,$D241&gt;120),"CHECK dB: outside 1-120 table",IF(ISNA(MATCH($C241,'Flow Curves'!$A$5:$A$11,0)),"INTERPOLATED between curves","Table curve")))))</f>
        <v/>
      </c>
      <c r="W241" s="2" t="str">
        <f aca="false">IF(OR($D241="",$C241=""),"",MATCH(MAX(10,MIN(150,$C241)),'Flow Curves'!$A$5:$A$11,1))</f>
        <v/>
      </c>
      <c r="X241" s="2" t="str">
        <f aca="false">IF($W241="","",MIN($W241+1,7))</f>
        <v/>
      </c>
      <c r="Y241" s="2" t="str">
        <f aca="false">IF($W241="","",INDEX('Flow Curves'!$B$5:$B$11,$W241)*POWER($D241,INDEX('Flow Curves'!$C$5:$C$11,$W241)))</f>
        <v/>
      </c>
      <c r="Z241" s="2" t="str">
        <f aca="false">IF($W241="","",INDEX('Flow Curves'!$B$5:$B$11,$X241)*POWER($D241,INDEX('Flow Curves'!$C$5:$C$11,$X241)))</f>
        <v/>
      </c>
    </row>
    <row r="242" customFormat="false" ht="15" hidden="false" customHeight="false" outlineLevel="0" collapsed="false">
      <c r="A242" s="16" t="n">
        <v>235</v>
      </c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8" t="n">
        <f aca="false">IF($O242=0,0,$O242*60*Cost!$D$16*Cost!$D$17*IFERROR(INDEX(Cost!$I$5:$I$11,MATCH($B242,Cost!$H$5:$H$11,0)),0)/Cost!$D$5)</f>
        <v>0</v>
      </c>
      <c r="O242" s="19" t="n">
        <f aca="false">IF($W242="",0,IF(INDEX('Flow Curves'!$A$5:$A$11,$X242)=INDEX('Flow Curves'!$A$5:$A$11,$W242),$Y242,$Y242+($Z242-$Y242)*(MAX(10,MIN(150,$C242))-INDEX('Flow Curves'!$A$5:$A$11,$W242))/(INDEX('Flow Curves'!$A$5:$A$11,$X242)-INDEX('Flow Curves'!$A$5:$A$11,$W242))))</f>
        <v>0</v>
      </c>
      <c r="P242" s="20" t="n">
        <f aca="false">IF(OR($B242="Air",$B242="Open Blow"),$O242*60*Cost!$D$16*Cost!$D$17/Cost!$D$5*Cost!$D$13,0)</f>
        <v>0</v>
      </c>
      <c r="Q242" s="17"/>
      <c r="U242" s="16" t="str">
        <f aca="false">IF($D242="","",IF(ISNA(MATCH($B242,Cost!$H$5:$H$11,0)),"CHECK GAS TYPE",IF(OR($C242&lt;10,$C242&gt;150),"CHECK PRESSURE: outside 10-150 psi table",IF(OR($D242&lt;1,$D242&gt;120),"CHECK dB: outside 1-120 table",IF(ISNA(MATCH($C242,'Flow Curves'!$A$5:$A$11,0)),"INTERPOLATED between curves","Table curve")))))</f>
        <v/>
      </c>
      <c r="W242" s="2" t="str">
        <f aca="false">IF(OR($D242="",$C242=""),"",MATCH(MAX(10,MIN(150,$C242)),'Flow Curves'!$A$5:$A$11,1))</f>
        <v/>
      </c>
      <c r="X242" s="2" t="str">
        <f aca="false">IF($W242="","",MIN($W242+1,7))</f>
        <v/>
      </c>
      <c r="Y242" s="2" t="str">
        <f aca="false">IF($W242="","",INDEX('Flow Curves'!$B$5:$B$11,$W242)*POWER($D242,INDEX('Flow Curves'!$C$5:$C$11,$W242)))</f>
        <v/>
      </c>
      <c r="Z242" s="2" t="str">
        <f aca="false">IF($W242="","",INDEX('Flow Curves'!$B$5:$B$11,$X242)*POWER($D242,INDEX('Flow Curves'!$C$5:$C$11,$X242)))</f>
        <v/>
      </c>
    </row>
    <row r="243" customFormat="false" ht="15" hidden="false" customHeight="false" outlineLevel="0" collapsed="false">
      <c r="A243" s="16" t="n">
        <v>236</v>
      </c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8" t="n">
        <f aca="false">IF($O243=0,0,$O243*60*Cost!$D$16*Cost!$D$17*IFERROR(INDEX(Cost!$I$5:$I$11,MATCH($B243,Cost!$H$5:$H$11,0)),0)/Cost!$D$5)</f>
        <v>0</v>
      </c>
      <c r="O243" s="19" t="n">
        <f aca="false">IF($W243="",0,IF(INDEX('Flow Curves'!$A$5:$A$11,$X243)=INDEX('Flow Curves'!$A$5:$A$11,$W243),$Y243,$Y243+($Z243-$Y243)*(MAX(10,MIN(150,$C243))-INDEX('Flow Curves'!$A$5:$A$11,$W243))/(INDEX('Flow Curves'!$A$5:$A$11,$X243)-INDEX('Flow Curves'!$A$5:$A$11,$W243))))</f>
        <v>0</v>
      </c>
      <c r="P243" s="20" t="n">
        <f aca="false">IF(OR($B243="Air",$B243="Open Blow"),$O243*60*Cost!$D$16*Cost!$D$17/Cost!$D$5*Cost!$D$13,0)</f>
        <v>0</v>
      </c>
      <c r="Q243" s="17"/>
      <c r="U243" s="16" t="str">
        <f aca="false">IF($D243="","",IF(ISNA(MATCH($B243,Cost!$H$5:$H$11,0)),"CHECK GAS TYPE",IF(OR($C243&lt;10,$C243&gt;150),"CHECK PRESSURE: outside 10-150 psi table",IF(OR($D243&lt;1,$D243&gt;120),"CHECK dB: outside 1-120 table",IF(ISNA(MATCH($C243,'Flow Curves'!$A$5:$A$11,0)),"INTERPOLATED between curves","Table curve")))))</f>
        <v/>
      </c>
      <c r="W243" s="2" t="str">
        <f aca="false">IF(OR($D243="",$C243=""),"",MATCH(MAX(10,MIN(150,$C243)),'Flow Curves'!$A$5:$A$11,1))</f>
        <v/>
      </c>
      <c r="X243" s="2" t="str">
        <f aca="false">IF($W243="","",MIN($W243+1,7))</f>
        <v/>
      </c>
      <c r="Y243" s="2" t="str">
        <f aca="false">IF($W243="","",INDEX('Flow Curves'!$B$5:$B$11,$W243)*POWER($D243,INDEX('Flow Curves'!$C$5:$C$11,$W243)))</f>
        <v/>
      </c>
      <c r="Z243" s="2" t="str">
        <f aca="false">IF($W243="","",INDEX('Flow Curves'!$B$5:$B$11,$X243)*POWER($D243,INDEX('Flow Curves'!$C$5:$C$11,$X243)))</f>
        <v/>
      </c>
    </row>
    <row r="244" customFormat="false" ht="15" hidden="false" customHeight="false" outlineLevel="0" collapsed="false">
      <c r="A244" s="16" t="n">
        <v>237</v>
      </c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8" t="n">
        <f aca="false">IF($O244=0,0,$O244*60*Cost!$D$16*Cost!$D$17*IFERROR(INDEX(Cost!$I$5:$I$11,MATCH($B244,Cost!$H$5:$H$11,0)),0)/Cost!$D$5)</f>
        <v>0</v>
      </c>
      <c r="O244" s="19" t="n">
        <f aca="false">IF($W244="",0,IF(INDEX('Flow Curves'!$A$5:$A$11,$X244)=INDEX('Flow Curves'!$A$5:$A$11,$W244),$Y244,$Y244+($Z244-$Y244)*(MAX(10,MIN(150,$C244))-INDEX('Flow Curves'!$A$5:$A$11,$W244))/(INDEX('Flow Curves'!$A$5:$A$11,$X244)-INDEX('Flow Curves'!$A$5:$A$11,$W244))))</f>
        <v>0</v>
      </c>
      <c r="P244" s="20" t="n">
        <f aca="false">IF(OR($B244="Air",$B244="Open Blow"),$O244*60*Cost!$D$16*Cost!$D$17/Cost!$D$5*Cost!$D$13,0)</f>
        <v>0</v>
      </c>
      <c r="Q244" s="17"/>
      <c r="U244" s="16" t="str">
        <f aca="false">IF($D244="","",IF(ISNA(MATCH($B244,Cost!$H$5:$H$11,0)),"CHECK GAS TYPE",IF(OR($C244&lt;10,$C244&gt;150),"CHECK PRESSURE: outside 10-150 psi table",IF(OR($D244&lt;1,$D244&gt;120),"CHECK dB: outside 1-120 table",IF(ISNA(MATCH($C244,'Flow Curves'!$A$5:$A$11,0)),"INTERPOLATED between curves","Table curve")))))</f>
        <v/>
      </c>
      <c r="W244" s="2" t="str">
        <f aca="false">IF(OR($D244="",$C244=""),"",MATCH(MAX(10,MIN(150,$C244)),'Flow Curves'!$A$5:$A$11,1))</f>
        <v/>
      </c>
      <c r="X244" s="2" t="str">
        <f aca="false">IF($W244="","",MIN($W244+1,7))</f>
        <v/>
      </c>
      <c r="Y244" s="2" t="str">
        <f aca="false">IF($W244="","",INDEX('Flow Curves'!$B$5:$B$11,$W244)*POWER($D244,INDEX('Flow Curves'!$C$5:$C$11,$W244)))</f>
        <v/>
      </c>
      <c r="Z244" s="2" t="str">
        <f aca="false">IF($W244="","",INDEX('Flow Curves'!$B$5:$B$11,$X244)*POWER($D244,INDEX('Flow Curves'!$C$5:$C$11,$X244)))</f>
        <v/>
      </c>
    </row>
    <row r="245" customFormat="false" ht="15" hidden="false" customHeight="false" outlineLevel="0" collapsed="false">
      <c r="A245" s="16" t="n">
        <v>238</v>
      </c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8" t="n">
        <f aca="false">IF($O245=0,0,$O245*60*Cost!$D$16*Cost!$D$17*IFERROR(INDEX(Cost!$I$5:$I$11,MATCH($B245,Cost!$H$5:$H$11,0)),0)/Cost!$D$5)</f>
        <v>0</v>
      </c>
      <c r="O245" s="19" t="n">
        <f aca="false">IF($W245="",0,IF(INDEX('Flow Curves'!$A$5:$A$11,$X245)=INDEX('Flow Curves'!$A$5:$A$11,$W245),$Y245,$Y245+($Z245-$Y245)*(MAX(10,MIN(150,$C245))-INDEX('Flow Curves'!$A$5:$A$11,$W245))/(INDEX('Flow Curves'!$A$5:$A$11,$X245)-INDEX('Flow Curves'!$A$5:$A$11,$W245))))</f>
        <v>0</v>
      </c>
      <c r="P245" s="20" t="n">
        <f aca="false">IF(OR($B245="Air",$B245="Open Blow"),$O245*60*Cost!$D$16*Cost!$D$17/Cost!$D$5*Cost!$D$13,0)</f>
        <v>0</v>
      </c>
      <c r="Q245" s="17"/>
      <c r="U245" s="16" t="str">
        <f aca="false">IF($D245="","",IF(ISNA(MATCH($B245,Cost!$H$5:$H$11,0)),"CHECK GAS TYPE",IF(OR($C245&lt;10,$C245&gt;150),"CHECK PRESSURE: outside 10-150 psi table",IF(OR($D245&lt;1,$D245&gt;120),"CHECK dB: outside 1-120 table",IF(ISNA(MATCH($C245,'Flow Curves'!$A$5:$A$11,0)),"INTERPOLATED between curves","Table curve")))))</f>
        <v/>
      </c>
      <c r="W245" s="2" t="str">
        <f aca="false">IF(OR($D245="",$C245=""),"",MATCH(MAX(10,MIN(150,$C245)),'Flow Curves'!$A$5:$A$11,1))</f>
        <v/>
      </c>
      <c r="X245" s="2" t="str">
        <f aca="false">IF($W245="","",MIN($W245+1,7))</f>
        <v/>
      </c>
      <c r="Y245" s="2" t="str">
        <f aca="false">IF($W245="","",INDEX('Flow Curves'!$B$5:$B$11,$W245)*POWER($D245,INDEX('Flow Curves'!$C$5:$C$11,$W245)))</f>
        <v/>
      </c>
      <c r="Z245" s="2" t="str">
        <f aca="false">IF($W245="","",INDEX('Flow Curves'!$B$5:$B$11,$X245)*POWER($D245,INDEX('Flow Curves'!$C$5:$C$11,$X245)))</f>
        <v/>
      </c>
    </row>
    <row r="246" customFormat="false" ht="15" hidden="false" customHeight="false" outlineLevel="0" collapsed="false">
      <c r="A246" s="16" t="n">
        <v>239</v>
      </c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8" t="n">
        <f aca="false">IF($O246=0,0,$O246*60*Cost!$D$16*Cost!$D$17*IFERROR(INDEX(Cost!$I$5:$I$11,MATCH($B246,Cost!$H$5:$H$11,0)),0)/Cost!$D$5)</f>
        <v>0</v>
      </c>
      <c r="O246" s="19" t="n">
        <f aca="false">IF($W246="",0,IF(INDEX('Flow Curves'!$A$5:$A$11,$X246)=INDEX('Flow Curves'!$A$5:$A$11,$W246),$Y246,$Y246+($Z246-$Y246)*(MAX(10,MIN(150,$C246))-INDEX('Flow Curves'!$A$5:$A$11,$W246))/(INDEX('Flow Curves'!$A$5:$A$11,$X246)-INDEX('Flow Curves'!$A$5:$A$11,$W246))))</f>
        <v>0</v>
      </c>
      <c r="P246" s="20" t="n">
        <f aca="false">IF(OR($B246="Air",$B246="Open Blow"),$O246*60*Cost!$D$16*Cost!$D$17/Cost!$D$5*Cost!$D$13,0)</f>
        <v>0</v>
      </c>
      <c r="Q246" s="17"/>
      <c r="U246" s="16" t="str">
        <f aca="false">IF($D246="","",IF(ISNA(MATCH($B246,Cost!$H$5:$H$11,0)),"CHECK GAS TYPE",IF(OR($C246&lt;10,$C246&gt;150),"CHECK PRESSURE: outside 10-150 psi table",IF(OR($D246&lt;1,$D246&gt;120),"CHECK dB: outside 1-120 table",IF(ISNA(MATCH($C246,'Flow Curves'!$A$5:$A$11,0)),"INTERPOLATED between curves","Table curve")))))</f>
        <v/>
      </c>
      <c r="W246" s="2" t="str">
        <f aca="false">IF(OR($D246="",$C246=""),"",MATCH(MAX(10,MIN(150,$C246)),'Flow Curves'!$A$5:$A$11,1))</f>
        <v/>
      </c>
      <c r="X246" s="2" t="str">
        <f aca="false">IF($W246="","",MIN($W246+1,7))</f>
        <v/>
      </c>
      <c r="Y246" s="2" t="str">
        <f aca="false">IF($W246="","",INDEX('Flow Curves'!$B$5:$B$11,$W246)*POWER($D246,INDEX('Flow Curves'!$C$5:$C$11,$W246)))</f>
        <v/>
      </c>
      <c r="Z246" s="2" t="str">
        <f aca="false">IF($W246="","",INDEX('Flow Curves'!$B$5:$B$11,$X246)*POWER($D246,INDEX('Flow Curves'!$C$5:$C$11,$X246)))</f>
        <v/>
      </c>
    </row>
    <row r="247" customFormat="false" ht="15" hidden="false" customHeight="false" outlineLevel="0" collapsed="false">
      <c r="A247" s="16" t="n">
        <v>240</v>
      </c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8" t="n">
        <f aca="false">IF($O247=0,0,$O247*60*Cost!$D$16*Cost!$D$17*IFERROR(INDEX(Cost!$I$5:$I$11,MATCH($B247,Cost!$H$5:$H$11,0)),0)/Cost!$D$5)</f>
        <v>0</v>
      </c>
      <c r="O247" s="19" t="n">
        <f aca="false">IF($W247="",0,IF(INDEX('Flow Curves'!$A$5:$A$11,$X247)=INDEX('Flow Curves'!$A$5:$A$11,$W247),$Y247,$Y247+($Z247-$Y247)*(MAX(10,MIN(150,$C247))-INDEX('Flow Curves'!$A$5:$A$11,$W247))/(INDEX('Flow Curves'!$A$5:$A$11,$X247)-INDEX('Flow Curves'!$A$5:$A$11,$W247))))</f>
        <v>0</v>
      </c>
      <c r="P247" s="20" t="n">
        <f aca="false">IF(OR($B247="Air",$B247="Open Blow"),$O247*60*Cost!$D$16*Cost!$D$17/Cost!$D$5*Cost!$D$13,0)</f>
        <v>0</v>
      </c>
      <c r="Q247" s="17"/>
      <c r="U247" s="16" t="str">
        <f aca="false">IF($D247="","",IF(ISNA(MATCH($B247,Cost!$H$5:$H$11,0)),"CHECK GAS TYPE",IF(OR($C247&lt;10,$C247&gt;150),"CHECK PRESSURE: outside 10-150 psi table",IF(OR($D247&lt;1,$D247&gt;120),"CHECK dB: outside 1-120 table",IF(ISNA(MATCH($C247,'Flow Curves'!$A$5:$A$11,0)),"INTERPOLATED between curves","Table curve")))))</f>
        <v/>
      </c>
      <c r="W247" s="2" t="str">
        <f aca="false">IF(OR($D247="",$C247=""),"",MATCH(MAX(10,MIN(150,$C247)),'Flow Curves'!$A$5:$A$11,1))</f>
        <v/>
      </c>
      <c r="X247" s="2" t="str">
        <f aca="false">IF($W247="","",MIN($W247+1,7))</f>
        <v/>
      </c>
      <c r="Y247" s="2" t="str">
        <f aca="false">IF($W247="","",INDEX('Flow Curves'!$B$5:$B$11,$W247)*POWER($D247,INDEX('Flow Curves'!$C$5:$C$11,$W247)))</f>
        <v/>
      </c>
      <c r="Z247" s="2" t="str">
        <f aca="false">IF($W247="","",INDEX('Flow Curves'!$B$5:$B$11,$X247)*POWER($D247,INDEX('Flow Curves'!$C$5:$C$11,$X247)))</f>
        <v/>
      </c>
    </row>
    <row r="248" customFormat="false" ht="15" hidden="false" customHeight="false" outlineLevel="0" collapsed="false">
      <c r="A248" s="16" t="n">
        <v>241</v>
      </c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8" t="n">
        <f aca="false">IF($O248=0,0,$O248*60*Cost!$D$16*Cost!$D$17*IFERROR(INDEX(Cost!$I$5:$I$11,MATCH($B248,Cost!$H$5:$H$11,0)),0)/Cost!$D$5)</f>
        <v>0</v>
      </c>
      <c r="O248" s="19" t="n">
        <f aca="false">IF($W248="",0,IF(INDEX('Flow Curves'!$A$5:$A$11,$X248)=INDEX('Flow Curves'!$A$5:$A$11,$W248),$Y248,$Y248+($Z248-$Y248)*(MAX(10,MIN(150,$C248))-INDEX('Flow Curves'!$A$5:$A$11,$W248))/(INDEX('Flow Curves'!$A$5:$A$11,$X248)-INDEX('Flow Curves'!$A$5:$A$11,$W248))))</f>
        <v>0</v>
      </c>
      <c r="P248" s="20" t="n">
        <f aca="false">IF(OR($B248="Air",$B248="Open Blow"),$O248*60*Cost!$D$16*Cost!$D$17/Cost!$D$5*Cost!$D$13,0)</f>
        <v>0</v>
      </c>
      <c r="Q248" s="17"/>
      <c r="U248" s="16" t="str">
        <f aca="false">IF($D248="","",IF(ISNA(MATCH($B248,Cost!$H$5:$H$11,0)),"CHECK GAS TYPE",IF(OR($C248&lt;10,$C248&gt;150),"CHECK PRESSURE: outside 10-150 psi table",IF(OR($D248&lt;1,$D248&gt;120),"CHECK dB: outside 1-120 table",IF(ISNA(MATCH($C248,'Flow Curves'!$A$5:$A$11,0)),"INTERPOLATED between curves","Table curve")))))</f>
        <v/>
      </c>
      <c r="W248" s="2" t="str">
        <f aca="false">IF(OR($D248="",$C248=""),"",MATCH(MAX(10,MIN(150,$C248)),'Flow Curves'!$A$5:$A$11,1))</f>
        <v/>
      </c>
      <c r="X248" s="2" t="str">
        <f aca="false">IF($W248="","",MIN($W248+1,7))</f>
        <v/>
      </c>
      <c r="Y248" s="2" t="str">
        <f aca="false">IF($W248="","",INDEX('Flow Curves'!$B$5:$B$11,$W248)*POWER($D248,INDEX('Flow Curves'!$C$5:$C$11,$W248)))</f>
        <v/>
      </c>
      <c r="Z248" s="2" t="str">
        <f aca="false">IF($W248="","",INDEX('Flow Curves'!$B$5:$B$11,$X248)*POWER($D248,INDEX('Flow Curves'!$C$5:$C$11,$X248)))</f>
        <v/>
      </c>
    </row>
    <row r="249" customFormat="false" ht="15" hidden="false" customHeight="false" outlineLevel="0" collapsed="false">
      <c r="A249" s="16" t="n">
        <v>242</v>
      </c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8" t="n">
        <f aca="false">IF($O249=0,0,$O249*60*Cost!$D$16*Cost!$D$17*IFERROR(INDEX(Cost!$I$5:$I$11,MATCH($B249,Cost!$H$5:$H$11,0)),0)/Cost!$D$5)</f>
        <v>0</v>
      </c>
      <c r="O249" s="19" t="n">
        <f aca="false">IF($W249="",0,IF(INDEX('Flow Curves'!$A$5:$A$11,$X249)=INDEX('Flow Curves'!$A$5:$A$11,$W249),$Y249,$Y249+($Z249-$Y249)*(MAX(10,MIN(150,$C249))-INDEX('Flow Curves'!$A$5:$A$11,$W249))/(INDEX('Flow Curves'!$A$5:$A$11,$X249)-INDEX('Flow Curves'!$A$5:$A$11,$W249))))</f>
        <v>0</v>
      </c>
      <c r="P249" s="20" t="n">
        <f aca="false">IF(OR($B249="Air",$B249="Open Blow"),$O249*60*Cost!$D$16*Cost!$D$17/Cost!$D$5*Cost!$D$13,0)</f>
        <v>0</v>
      </c>
      <c r="Q249" s="17"/>
      <c r="U249" s="16" t="str">
        <f aca="false">IF($D249="","",IF(ISNA(MATCH($B249,Cost!$H$5:$H$11,0)),"CHECK GAS TYPE",IF(OR($C249&lt;10,$C249&gt;150),"CHECK PRESSURE: outside 10-150 psi table",IF(OR($D249&lt;1,$D249&gt;120),"CHECK dB: outside 1-120 table",IF(ISNA(MATCH($C249,'Flow Curves'!$A$5:$A$11,0)),"INTERPOLATED between curves","Table curve")))))</f>
        <v/>
      </c>
      <c r="W249" s="2" t="str">
        <f aca="false">IF(OR($D249="",$C249=""),"",MATCH(MAX(10,MIN(150,$C249)),'Flow Curves'!$A$5:$A$11,1))</f>
        <v/>
      </c>
      <c r="X249" s="2" t="str">
        <f aca="false">IF($W249="","",MIN($W249+1,7))</f>
        <v/>
      </c>
      <c r="Y249" s="2" t="str">
        <f aca="false">IF($W249="","",INDEX('Flow Curves'!$B$5:$B$11,$W249)*POWER($D249,INDEX('Flow Curves'!$C$5:$C$11,$W249)))</f>
        <v/>
      </c>
      <c r="Z249" s="2" t="str">
        <f aca="false">IF($W249="","",INDEX('Flow Curves'!$B$5:$B$11,$X249)*POWER($D249,INDEX('Flow Curves'!$C$5:$C$11,$X249)))</f>
        <v/>
      </c>
    </row>
    <row r="250" customFormat="false" ht="15" hidden="false" customHeight="false" outlineLevel="0" collapsed="false">
      <c r="A250" s="16" t="n">
        <v>243</v>
      </c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8" t="n">
        <f aca="false">IF($O250=0,0,$O250*60*Cost!$D$16*Cost!$D$17*IFERROR(INDEX(Cost!$I$5:$I$11,MATCH($B250,Cost!$H$5:$H$11,0)),0)/Cost!$D$5)</f>
        <v>0</v>
      </c>
      <c r="O250" s="19" t="n">
        <f aca="false">IF($W250="",0,IF(INDEX('Flow Curves'!$A$5:$A$11,$X250)=INDEX('Flow Curves'!$A$5:$A$11,$W250),$Y250,$Y250+($Z250-$Y250)*(MAX(10,MIN(150,$C250))-INDEX('Flow Curves'!$A$5:$A$11,$W250))/(INDEX('Flow Curves'!$A$5:$A$11,$X250)-INDEX('Flow Curves'!$A$5:$A$11,$W250))))</f>
        <v>0</v>
      </c>
      <c r="P250" s="20" t="n">
        <f aca="false">IF(OR($B250="Air",$B250="Open Blow"),$O250*60*Cost!$D$16*Cost!$D$17/Cost!$D$5*Cost!$D$13,0)</f>
        <v>0</v>
      </c>
      <c r="Q250" s="17"/>
      <c r="U250" s="16" t="str">
        <f aca="false">IF($D250="","",IF(ISNA(MATCH($B250,Cost!$H$5:$H$11,0)),"CHECK GAS TYPE",IF(OR($C250&lt;10,$C250&gt;150),"CHECK PRESSURE: outside 10-150 psi table",IF(OR($D250&lt;1,$D250&gt;120),"CHECK dB: outside 1-120 table",IF(ISNA(MATCH($C250,'Flow Curves'!$A$5:$A$11,0)),"INTERPOLATED between curves","Table curve")))))</f>
        <v/>
      </c>
      <c r="W250" s="2" t="str">
        <f aca="false">IF(OR($D250="",$C250=""),"",MATCH(MAX(10,MIN(150,$C250)),'Flow Curves'!$A$5:$A$11,1))</f>
        <v/>
      </c>
      <c r="X250" s="2" t="str">
        <f aca="false">IF($W250="","",MIN($W250+1,7))</f>
        <v/>
      </c>
      <c r="Y250" s="2" t="str">
        <f aca="false">IF($W250="","",INDEX('Flow Curves'!$B$5:$B$11,$W250)*POWER($D250,INDEX('Flow Curves'!$C$5:$C$11,$W250)))</f>
        <v/>
      </c>
      <c r="Z250" s="2" t="str">
        <f aca="false">IF($W250="","",INDEX('Flow Curves'!$B$5:$B$11,$X250)*POWER($D250,INDEX('Flow Curves'!$C$5:$C$11,$X250)))</f>
        <v/>
      </c>
    </row>
    <row r="251" customFormat="false" ht="15" hidden="false" customHeight="false" outlineLevel="0" collapsed="false">
      <c r="A251" s="16" t="n">
        <v>244</v>
      </c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8" t="n">
        <f aca="false">IF($O251=0,0,$O251*60*Cost!$D$16*Cost!$D$17*IFERROR(INDEX(Cost!$I$5:$I$11,MATCH($B251,Cost!$H$5:$H$11,0)),0)/Cost!$D$5)</f>
        <v>0</v>
      </c>
      <c r="O251" s="19" t="n">
        <f aca="false">IF($W251="",0,IF(INDEX('Flow Curves'!$A$5:$A$11,$X251)=INDEX('Flow Curves'!$A$5:$A$11,$W251),$Y251,$Y251+($Z251-$Y251)*(MAX(10,MIN(150,$C251))-INDEX('Flow Curves'!$A$5:$A$11,$W251))/(INDEX('Flow Curves'!$A$5:$A$11,$X251)-INDEX('Flow Curves'!$A$5:$A$11,$W251))))</f>
        <v>0</v>
      </c>
      <c r="P251" s="20" t="n">
        <f aca="false">IF(OR($B251="Air",$B251="Open Blow"),$O251*60*Cost!$D$16*Cost!$D$17/Cost!$D$5*Cost!$D$13,0)</f>
        <v>0</v>
      </c>
      <c r="Q251" s="17"/>
      <c r="U251" s="16" t="str">
        <f aca="false">IF($D251="","",IF(ISNA(MATCH($B251,Cost!$H$5:$H$11,0)),"CHECK GAS TYPE",IF(OR($C251&lt;10,$C251&gt;150),"CHECK PRESSURE: outside 10-150 psi table",IF(OR($D251&lt;1,$D251&gt;120),"CHECK dB: outside 1-120 table",IF(ISNA(MATCH($C251,'Flow Curves'!$A$5:$A$11,0)),"INTERPOLATED between curves","Table curve")))))</f>
        <v/>
      </c>
      <c r="W251" s="2" t="str">
        <f aca="false">IF(OR($D251="",$C251=""),"",MATCH(MAX(10,MIN(150,$C251)),'Flow Curves'!$A$5:$A$11,1))</f>
        <v/>
      </c>
      <c r="X251" s="2" t="str">
        <f aca="false">IF($W251="","",MIN($W251+1,7))</f>
        <v/>
      </c>
      <c r="Y251" s="2" t="str">
        <f aca="false">IF($W251="","",INDEX('Flow Curves'!$B$5:$B$11,$W251)*POWER($D251,INDEX('Flow Curves'!$C$5:$C$11,$W251)))</f>
        <v/>
      </c>
      <c r="Z251" s="2" t="str">
        <f aca="false">IF($W251="","",INDEX('Flow Curves'!$B$5:$B$11,$X251)*POWER($D251,INDEX('Flow Curves'!$C$5:$C$11,$X251)))</f>
        <v/>
      </c>
    </row>
    <row r="252" customFormat="false" ht="15" hidden="false" customHeight="false" outlineLevel="0" collapsed="false">
      <c r="A252" s="16" t="n">
        <v>245</v>
      </c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8" t="n">
        <f aca="false">IF($O252=0,0,$O252*60*Cost!$D$16*Cost!$D$17*IFERROR(INDEX(Cost!$I$5:$I$11,MATCH($B252,Cost!$H$5:$H$11,0)),0)/Cost!$D$5)</f>
        <v>0</v>
      </c>
      <c r="O252" s="19" t="n">
        <f aca="false">IF($W252="",0,IF(INDEX('Flow Curves'!$A$5:$A$11,$X252)=INDEX('Flow Curves'!$A$5:$A$11,$W252),$Y252,$Y252+($Z252-$Y252)*(MAX(10,MIN(150,$C252))-INDEX('Flow Curves'!$A$5:$A$11,$W252))/(INDEX('Flow Curves'!$A$5:$A$11,$X252)-INDEX('Flow Curves'!$A$5:$A$11,$W252))))</f>
        <v>0</v>
      </c>
      <c r="P252" s="20" t="n">
        <f aca="false">IF(OR($B252="Air",$B252="Open Blow"),$O252*60*Cost!$D$16*Cost!$D$17/Cost!$D$5*Cost!$D$13,0)</f>
        <v>0</v>
      </c>
      <c r="Q252" s="17"/>
      <c r="U252" s="16" t="str">
        <f aca="false">IF($D252="","",IF(ISNA(MATCH($B252,Cost!$H$5:$H$11,0)),"CHECK GAS TYPE",IF(OR($C252&lt;10,$C252&gt;150),"CHECK PRESSURE: outside 10-150 psi table",IF(OR($D252&lt;1,$D252&gt;120),"CHECK dB: outside 1-120 table",IF(ISNA(MATCH($C252,'Flow Curves'!$A$5:$A$11,0)),"INTERPOLATED between curves","Table curve")))))</f>
        <v/>
      </c>
      <c r="W252" s="2" t="str">
        <f aca="false">IF(OR($D252="",$C252=""),"",MATCH(MAX(10,MIN(150,$C252)),'Flow Curves'!$A$5:$A$11,1))</f>
        <v/>
      </c>
      <c r="X252" s="2" t="str">
        <f aca="false">IF($W252="","",MIN($W252+1,7))</f>
        <v/>
      </c>
      <c r="Y252" s="2" t="str">
        <f aca="false">IF($W252="","",INDEX('Flow Curves'!$B$5:$B$11,$W252)*POWER($D252,INDEX('Flow Curves'!$C$5:$C$11,$W252)))</f>
        <v/>
      </c>
      <c r="Z252" s="2" t="str">
        <f aca="false">IF($W252="","",INDEX('Flow Curves'!$B$5:$B$11,$X252)*POWER($D252,INDEX('Flow Curves'!$C$5:$C$11,$X252)))</f>
        <v/>
      </c>
    </row>
    <row r="253" customFormat="false" ht="15" hidden="false" customHeight="false" outlineLevel="0" collapsed="false">
      <c r="A253" s="16" t="n">
        <v>246</v>
      </c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8" t="n">
        <f aca="false">IF($O253=0,0,$O253*60*Cost!$D$16*Cost!$D$17*IFERROR(INDEX(Cost!$I$5:$I$11,MATCH($B253,Cost!$H$5:$H$11,0)),0)/Cost!$D$5)</f>
        <v>0</v>
      </c>
      <c r="O253" s="19" t="n">
        <f aca="false">IF($W253="",0,IF(INDEX('Flow Curves'!$A$5:$A$11,$X253)=INDEX('Flow Curves'!$A$5:$A$11,$W253),$Y253,$Y253+($Z253-$Y253)*(MAX(10,MIN(150,$C253))-INDEX('Flow Curves'!$A$5:$A$11,$W253))/(INDEX('Flow Curves'!$A$5:$A$11,$X253)-INDEX('Flow Curves'!$A$5:$A$11,$W253))))</f>
        <v>0</v>
      </c>
      <c r="P253" s="20" t="n">
        <f aca="false">IF(OR($B253="Air",$B253="Open Blow"),$O253*60*Cost!$D$16*Cost!$D$17/Cost!$D$5*Cost!$D$13,0)</f>
        <v>0</v>
      </c>
      <c r="Q253" s="17"/>
      <c r="U253" s="16" t="str">
        <f aca="false">IF($D253="","",IF(ISNA(MATCH($B253,Cost!$H$5:$H$11,0)),"CHECK GAS TYPE",IF(OR($C253&lt;10,$C253&gt;150),"CHECK PRESSURE: outside 10-150 psi table",IF(OR($D253&lt;1,$D253&gt;120),"CHECK dB: outside 1-120 table",IF(ISNA(MATCH($C253,'Flow Curves'!$A$5:$A$11,0)),"INTERPOLATED between curves","Table curve")))))</f>
        <v/>
      </c>
      <c r="W253" s="2" t="str">
        <f aca="false">IF(OR($D253="",$C253=""),"",MATCH(MAX(10,MIN(150,$C253)),'Flow Curves'!$A$5:$A$11,1))</f>
        <v/>
      </c>
      <c r="X253" s="2" t="str">
        <f aca="false">IF($W253="","",MIN($W253+1,7))</f>
        <v/>
      </c>
      <c r="Y253" s="2" t="str">
        <f aca="false">IF($W253="","",INDEX('Flow Curves'!$B$5:$B$11,$W253)*POWER($D253,INDEX('Flow Curves'!$C$5:$C$11,$W253)))</f>
        <v/>
      </c>
      <c r="Z253" s="2" t="str">
        <f aca="false">IF($W253="","",INDEX('Flow Curves'!$B$5:$B$11,$X253)*POWER($D253,INDEX('Flow Curves'!$C$5:$C$11,$X253)))</f>
        <v/>
      </c>
    </row>
    <row r="254" customFormat="false" ht="15" hidden="false" customHeight="false" outlineLevel="0" collapsed="false">
      <c r="A254" s="16" t="n">
        <v>247</v>
      </c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8" t="n">
        <f aca="false">IF($O254=0,0,$O254*60*Cost!$D$16*Cost!$D$17*IFERROR(INDEX(Cost!$I$5:$I$11,MATCH($B254,Cost!$H$5:$H$11,0)),0)/Cost!$D$5)</f>
        <v>0</v>
      </c>
      <c r="O254" s="19" t="n">
        <f aca="false">IF($W254="",0,IF(INDEX('Flow Curves'!$A$5:$A$11,$X254)=INDEX('Flow Curves'!$A$5:$A$11,$W254),$Y254,$Y254+($Z254-$Y254)*(MAX(10,MIN(150,$C254))-INDEX('Flow Curves'!$A$5:$A$11,$W254))/(INDEX('Flow Curves'!$A$5:$A$11,$X254)-INDEX('Flow Curves'!$A$5:$A$11,$W254))))</f>
        <v>0</v>
      </c>
      <c r="P254" s="20" t="n">
        <f aca="false">IF(OR($B254="Air",$B254="Open Blow"),$O254*60*Cost!$D$16*Cost!$D$17/Cost!$D$5*Cost!$D$13,0)</f>
        <v>0</v>
      </c>
      <c r="Q254" s="17"/>
      <c r="U254" s="16" t="str">
        <f aca="false">IF($D254="","",IF(ISNA(MATCH($B254,Cost!$H$5:$H$11,0)),"CHECK GAS TYPE",IF(OR($C254&lt;10,$C254&gt;150),"CHECK PRESSURE: outside 10-150 psi table",IF(OR($D254&lt;1,$D254&gt;120),"CHECK dB: outside 1-120 table",IF(ISNA(MATCH($C254,'Flow Curves'!$A$5:$A$11,0)),"INTERPOLATED between curves","Table curve")))))</f>
        <v/>
      </c>
      <c r="W254" s="2" t="str">
        <f aca="false">IF(OR($D254="",$C254=""),"",MATCH(MAX(10,MIN(150,$C254)),'Flow Curves'!$A$5:$A$11,1))</f>
        <v/>
      </c>
      <c r="X254" s="2" t="str">
        <f aca="false">IF($W254="","",MIN($W254+1,7))</f>
        <v/>
      </c>
      <c r="Y254" s="2" t="str">
        <f aca="false">IF($W254="","",INDEX('Flow Curves'!$B$5:$B$11,$W254)*POWER($D254,INDEX('Flow Curves'!$C$5:$C$11,$W254)))</f>
        <v/>
      </c>
      <c r="Z254" s="2" t="str">
        <f aca="false">IF($W254="","",INDEX('Flow Curves'!$B$5:$B$11,$X254)*POWER($D254,INDEX('Flow Curves'!$C$5:$C$11,$X254)))</f>
        <v/>
      </c>
    </row>
    <row r="255" customFormat="false" ht="15" hidden="false" customHeight="false" outlineLevel="0" collapsed="false">
      <c r="A255" s="16" t="n">
        <v>248</v>
      </c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8" t="n">
        <f aca="false">IF($O255=0,0,$O255*60*Cost!$D$16*Cost!$D$17*IFERROR(INDEX(Cost!$I$5:$I$11,MATCH($B255,Cost!$H$5:$H$11,0)),0)/Cost!$D$5)</f>
        <v>0</v>
      </c>
      <c r="O255" s="19" t="n">
        <f aca="false">IF($W255="",0,IF(INDEX('Flow Curves'!$A$5:$A$11,$X255)=INDEX('Flow Curves'!$A$5:$A$11,$W255),$Y255,$Y255+($Z255-$Y255)*(MAX(10,MIN(150,$C255))-INDEX('Flow Curves'!$A$5:$A$11,$W255))/(INDEX('Flow Curves'!$A$5:$A$11,$X255)-INDEX('Flow Curves'!$A$5:$A$11,$W255))))</f>
        <v>0</v>
      </c>
      <c r="P255" s="20" t="n">
        <f aca="false">IF(OR($B255="Air",$B255="Open Blow"),$O255*60*Cost!$D$16*Cost!$D$17/Cost!$D$5*Cost!$D$13,0)</f>
        <v>0</v>
      </c>
      <c r="Q255" s="17"/>
      <c r="U255" s="16" t="str">
        <f aca="false">IF($D255="","",IF(ISNA(MATCH($B255,Cost!$H$5:$H$11,0)),"CHECK GAS TYPE",IF(OR($C255&lt;10,$C255&gt;150),"CHECK PRESSURE: outside 10-150 psi table",IF(OR($D255&lt;1,$D255&gt;120),"CHECK dB: outside 1-120 table",IF(ISNA(MATCH($C255,'Flow Curves'!$A$5:$A$11,0)),"INTERPOLATED between curves","Table curve")))))</f>
        <v/>
      </c>
      <c r="W255" s="2" t="str">
        <f aca="false">IF(OR($D255="",$C255=""),"",MATCH(MAX(10,MIN(150,$C255)),'Flow Curves'!$A$5:$A$11,1))</f>
        <v/>
      </c>
      <c r="X255" s="2" t="str">
        <f aca="false">IF($W255="","",MIN($W255+1,7))</f>
        <v/>
      </c>
      <c r="Y255" s="2" t="str">
        <f aca="false">IF($W255="","",INDEX('Flow Curves'!$B$5:$B$11,$W255)*POWER($D255,INDEX('Flow Curves'!$C$5:$C$11,$W255)))</f>
        <v/>
      </c>
      <c r="Z255" s="2" t="str">
        <f aca="false">IF($W255="","",INDEX('Flow Curves'!$B$5:$B$11,$X255)*POWER($D255,INDEX('Flow Curves'!$C$5:$C$11,$X255)))</f>
        <v/>
      </c>
    </row>
    <row r="256" customFormat="false" ht="15" hidden="false" customHeight="false" outlineLevel="0" collapsed="false">
      <c r="A256" s="16" t="n">
        <v>249</v>
      </c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8" t="n">
        <f aca="false">IF($O256=0,0,$O256*60*Cost!$D$16*Cost!$D$17*IFERROR(INDEX(Cost!$I$5:$I$11,MATCH($B256,Cost!$H$5:$H$11,0)),0)/Cost!$D$5)</f>
        <v>0</v>
      </c>
      <c r="O256" s="19" t="n">
        <f aca="false">IF($W256="",0,IF(INDEX('Flow Curves'!$A$5:$A$11,$X256)=INDEX('Flow Curves'!$A$5:$A$11,$W256),$Y256,$Y256+($Z256-$Y256)*(MAX(10,MIN(150,$C256))-INDEX('Flow Curves'!$A$5:$A$11,$W256))/(INDEX('Flow Curves'!$A$5:$A$11,$X256)-INDEX('Flow Curves'!$A$5:$A$11,$W256))))</f>
        <v>0</v>
      </c>
      <c r="P256" s="20" t="n">
        <f aca="false">IF(OR($B256="Air",$B256="Open Blow"),$O256*60*Cost!$D$16*Cost!$D$17/Cost!$D$5*Cost!$D$13,0)</f>
        <v>0</v>
      </c>
      <c r="Q256" s="17"/>
      <c r="U256" s="16" t="str">
        <f aca="false">IF($D256="","",IF(ISNA(MATCH($B256,Cost!$H$5:$H$11,0)),"CHECK GAS TYPE",IF(OR($C256&lt;10,$C256&gt;150),"CHECK PRESSURE: outside 10-150 psi table",IF(OR($D256&lt;1,$D256&gt;120),"CHECK dB: outside 1-120 table",IF(ISNA(MATCH($C256,'Flow Curves'!$A$5:$A$11,0)),"INTERPOLATED between curves","Table curve")))))</f>
        <v/>
      </c>
      <c r="W256" s="2" t="str">
        <f aca="false">IF(OR($D256="",$C256=""),"",MATCH(MAX(10,MIN(150,$C256)),'Flow Curves'!$A$5:$A$11,1))</f>
        <v/>
      </c>
      <c r="X256" s="2" t="str">
        <f aca="false">IF($W256="","",MIN($W256+1,7))</f>
        <v/>
      </c>
      <c r="Y256" s="2" t="str">
        <f aca="false">IF($W256="","",INDEX('Flow Curves'!$B$5:$B$11,$W256)*POWER($D256,INDEX('Flow Curves'!$C$5:$C$11,$W256)))</f>
        <v/>
      </c>
      <c r="Z256" s="2" t="str">
        <f aca="false">IF($W256="","",INDEX('Flow Curves'!$B$5:$B$11,$X256)*POWER($D256,INDEX('Flow Curves'!$C$5:$C$11,$X256)))</f>
        <v/>
      </c>
    </row>
    <row r="257" customFormat="false" ht="15" hidden="false" customHeight="false" outlineLevel="0" collapsed="false">
      <c r="A257" s="16" t="n">
        <v>250</v>
      </c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8" t="n">
        <f aca="false">IF($O257=0,0,$O257*60*Cost!$D$16*Cost!$D$17*IFERROR(INDEX(Cost!$I$5:$I$11,MATCH($B257,Cost!$H$5:$H$11,0)),0)/Cost!$D$5)</f>
        <v>0</v>
      </c>
      <c r="O257" s="19" t="n">
        <f aca="false">IF($W257="",0,IF(INDEX('Flow Curves'!$A$5:$A$11,$X257)=INDEX('Flow Curves'!$A$5:$A$11,$W257),$Y257,$Y257+($Z257-$Y257)*(MAX(10,MIN(150,$C257))-INDEX('Flow Curves'!$A$5:$A$11,$W257))/(INDEX('Flow Curves'!$A$5:$A$11,$X257)-INDEX('Flow Curves'!$A$5:$A$11,$W257))))</f>
        <v>0</v>
      </c>
      <c r="P257" s="20" t="n">
        <f aca="false">IF(OR($B257="Air",$B257="Open Blow"),$O257*60*Cost!$D$16*Cost!$D$17/Cost!$D$5*Cost!$D$13,0)</f>
        <v>0</v>
      </c>
      <c r="Q257" s="17"/>
      <c r="U257" s="16" t="str">
        <f aca="false">IF($D257="","",IF(ISNA(MATCH($B257,Cost!$H$5:$H$11,0)),"CHECK GAS TYPE",IF(OR($C257&lt;10,$C257&gt;150),"CHECK PRESSURE: outside 10-150 psi table",IF(OR($D257&lt;1,$D257&gt;120),"CHECK dB: outside 1-120 table",IF(ISNA(MATCH($C257,'Flow Curves'!$A$5:$A$11,0)),"INTERPOLATED between curves","Table curve")))))</f>
        <v/>
      </c>
      <c r="W257" s="2" t="str">
        <f aca="false">IF(OR($D257="",$C257=""),"",MATCH(MAX(10,MIN(150,$C257)),'Flow Curves'!$A$5:$A$11,1))</f>
        <v/>
      </c>
      <c r="X257" s="2" t="str">
        <f aca="false">IF($W257="","",MIN($W257+1,7))</f>
        <v/>
      </c>
      <c r="Y257" s="2" t="str">
        <f aca="false">IF($W257="","",INDEX('Flow Curves'!$B$5:$B$11,$W257)*POWER($D257,INDEX('Flow Curves'!$C$5:$C$11,$W257)))</f>
        <v/>
      </c>
      <c r="Z257" s="2" t="str">
        <f aca="false">IF($W257="","",INDEX('Flow Curves'!$B$5:$B$11,$X257)*POWER($D257,INDEX('Flow Curves'!$C$5:$C$11,$X257)))</f>
        <v/>
      </c>
    </row>
    <row r="258" customFormat="false" ht="15" hidden="false" customHeight="false" outlineLevel="0" collapsed="false">
      <c r="A258" s="16" t="n">
        <v>251</v>
      </c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8" t="n">
        <f aca="false">IF($O258=0,0,$O258*60*Cost!$D$16*Cost!$D$17*IFERROR(INDEX(Cost!$I$5:$I$11,MATCH($B258,Cost!$H$5:$H$11,0)),0)/Cost!$D$5)</f>
        <v>0</v>
      </c>
      <c r="O258" s="19" t="n">
        <f aca="false">IF($W258="",0,IF(INDEX('Flow Curves'!$A$5:$A$11,$X258)=INDEX('Flow Curves'!$A$5:$A$11,$W258),$Y258,$Y258+($Z258-$Y258)*(MAX(10,MIN(150,$C258))-INDEX('Flow Curves'!$A$5:$A$11,$W258))/(INDEX('Flow Curves'!$A$5:$A$11,$X258)-INDEX('Flow Curves'!$A$5:$A$11,$W258))))</f>
        <v>0</v>
      </c>
      <c r="P258" s="20" t="n">
        <f aca="false">IF(OR($B258="Air",$B258="Open Blow"),$O258*60*Cost!$D$16*Cost!$D$17/Cost!$D$5*Cost!$D$13,0)</f>
        <v>0</v>
      </c>
      <c r="Q258" s="17"/>
      <c r="U258" s="16" t="str">
        <f aca="false">IF($D258="","",IF(ISNA(MATCH($B258,Cost!$H$5:$H$11,0)),"CHECK GAS TYPE",IF(OR($C258&lt;10,$C258&gt;150),"CHECK PRESSURE: outside 10-150 psi table",IF(OR($D258&lt;1,$D258&gt;120),"CHECK dB: outside 1-120 table",IF(ISNA(MATCH($C258,'Flow Curves'!$A$5:$A$11,0)),"INTERPOLATED between curves","Table curve")))))</f>
        <v/>
      </c>
      <c r="W258" s="2" t="str">
        <f aca="false">IF(OR($D258="",$C258=""),"",MATCH(MAX(10,MIN(150,$C258)),'Flow Curves'!$A$5:$A$11,1))</f>
        <v/>
      </c>
      <c r="X258" s="2" t="str">
        <f aca="false">IF($W258="","",MIN($W258+1,7))</f>
        <v/>
      </c>
      <c r="Y258" s="2" t="str">
        <f aca="false">IF($W258="","",INDEX('Flow Curves'!$B$5:$B$11,$W258)*POWER($D258,INDEX('Flow Curves'!$C$5:$C$11,$W258)))</f>
        <v/>
      </c>
      <c r="Z258" s="2" t="str">
        <f aca="false">IF($W258="","",INDEX('Flow Curves'!$B$5:$B$11,$X258)*POWER($D258,INDEX('Flow Curves'!$C$5:$C$11,$X258)))</f>
        <v/>
      </c>
    </row>
    <row r="259" customFormat="false" ht="15" hidden="false" customHeight="false" outlineLevel="0" collapsed="false">
      <c r="A259" s="16" t="n">
        <v>252</v>
      </c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8" t="n">
        <f aca="false">IF($O259=0,0,$O259*60*Cost!$D$16*Cost!$D$17*IFERROR(INDEX(Cost!$I$5:$I$11,MATCH($B259,Cost!$H$5:$H$11,0)),0)/Cost!$D$5)</f>
        <v>0</v>
      </c>
      <c r="O259" s="19" t="n">
        <f aca="false">IF($W259="",0,IF(INDEX('Flow Curves'!$A$5:$A$11,$X259)=INDEX('Flow Curves'!$A$5:$A$11,$W259),$Y259,$Y259+($Z259-$Y259)*(MAX(10,MIN(150,$C259))-INDEX('Flow Curves'!$A$5:$A$11,$W259))/(INDEX('Flow Curves'!$A$5:$A$11,$X259)-INDEX('Flow Curves'!$A$5:$A$11,$W259))))</f>
        <v>0</v>
      </c>
      <c r="P259" s="20" t="n">
        <f aca="false">IF(OR($B259="Air",$B259="Open Blow"),$O259*60*Cost!$D$16*Cost!$D$17/Cost!$D$5*Cost!$D$13,0)</f>
        <v>0</v>
      </c>
      <c r="Q259" s="17"/>
      <c r="U259" s="16" t="str">
        <f aca="false">IF($D259="","",IF(ISNA(MATCH($B259,Cost!$H$5:$H$11,0)),"CHECK GAS TYPE",IF(OR($C259&lt;10,$C259&gt;150),"CHECK PRESSURE: outside 10-150 psi table",IF(OR($D259&lt;1,$D259&gt;120),"CHECK dB: outside 1-120 table",IF(ISNA(MATCH($C259,'Flow Curves'!$A$5:$A$11,0)),"INTERPOLATED between curves","Table curve")))))</f>
        <v/>
      </c>
      <c r="W259" s="2" t="str">
        <f aca="false">IF(OR($D259="",$C259=""),"",MATCH(MAX(10,MIN(150,$C259)),'Flow Curves'!$A$5:$A$11,1))</f>
        <v/>
      </c>
      <c r="X259" s="2" t="str">
        <f aca="false">IF($W259="","",MIN($W259+1,7))</f>
        <v/>
      </c>
      <c r="Y259" s="2" t="str">
        <f aca="false">IF($W259="","",INDEX('Flow Curves'!$B$5:$B$11,$W259)*POWER($D259,INDEX('Flow Curves'!$C$5:$C$11,$W259)))</f>
        <v/>
      </c>
      <c r="Z259" s="2" t="str">
        <f aca="false">IF($W259="","",INDEX('Flow Curves'!$B$5:$B$11,$X259)*POWER($D259,INDEX('Flow Curves'!$C$5:$C$11,$X259)))</f>
        <v/>
      </c>
    </row>
    <row r="260" customFormat="false" ht="15" hidden="false" customHeight="false" outlineLevel="0" collapsed="false">
      <c r="A260" s="16" t="n">
        <v>253</v>
      </c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8" t="n">
        <f aca="false">IF($O260=0,0,$O260*60*Cost!$D$16*Cost!$D$17*IFERROR(INDEX(Cost!$I$5:$I$11,MATCH($B260,Cost!$H$5:$H$11,0)),0)/Cost!$D$5)</f>
        <v>0</v>
      </c>
      <c r="O260" s="19" t="n">
        <f aca="false">IF($W260="",0,IF(INDEX('Flow Curves'!$A$5:$A$11,$X260)=INDEX('Flow Curves'!$A$5:$A$11,$W260),$Y260,$Y260+($Z260-$Y260)*(MAX(10,MIN(150,$C260))-INDEX('Flow Curves'!$A$5:$A$11,$W260))/(INDEX('Flow Curves'!$A$5:$A$11,$X260)-INDEX('Flow Curves'!$A$5:$A$11,$W260))))</f>
        <v>0</v>
      </c>
      <c r="P260" s="20" t="n">
        <f aca="false">IF(OR($B260="Air",$B260="Open Blow"),$O260*60*Cost!$D$16*Cost!$D$17/Cost!$D$5*Cost!$D$13,0)</f>
        <v>0</v>
      </c>
      <c r="Q260" s="17"/>
      <c r="U260" s="16" t="str">
        <f aca="false">IF($D260="","",IF(ISNA(MATCH($B260,Cost!$H$5:$H$11,0)),"CHECK GAS TYPE",IF(OR($C260&lt;10,$C260&gt;150),"CHECK PRESSURE: outside 10-150 psi table",IF(OR($D260&lt;1,$D260&gt;120),"CHECK dB: outside 1-120 table",IF(ISNA(MATCH($C260,'Flow Curves'!$A$5:$A$11,0)),"INTERPOLATED between curves","Table curve")))))</f>
        <v/>
      </c>
      <c r="W260" s="2" t="str">
        <f aca="false">IF(OR($D260="",$C260=""),"",MATCH(MAX(10,MIN(150,$C260)),'Flow Curves'!$A$5:$A$11,1))</f>
        <v/>
      </c>
      <c r="X260" s="2" t="str">
        <f aca="false">IF($W260="","",MIN($W260+1,7))</f>
        <v/>
      </c>
      <c r="Y260" s="2" t="str">
        <f aca="false">IF($W260="","",INDEX('Flow Curves'!$B$5:$B$11,$W260)*POWER($D260,INDEX('Flow Curves'!$C$5:$C$11,$W260)))</f>
        <v/>
      </c>
      <c r="Z260" s="2" t="str">
        <f aca="false">IF($W260="","",INDEX('Flow Curves'!$B$5:$B$11,$X260)*POWER($D260,INDEX('Flow Curves'!$C$5:$C$11,$X260)))</f>
        <v/>
      </c>
    </row>
    <row r="261" customFormat="false" ht="15" hidden="false" customHeight="false" outlineLevel="0" collapsed="false">
      <c r="A261" s="16" t="n">
        <v>254</v>
      </c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8" t="n">
        <f aca="false">IF($O261=0,0,$O261*60*Cost!$D$16*Cost!$D$17*IFERROR(INDEX(Cost!$I$5:$I$11,MATCH($B261,Cost!$H$5:$H$11,0)),0)/Cost!$D$5)</f>
        <v>0</v>
      </c>
      <c r="O261" s="19" t="n">
        <f aca="false">IF($W261="",0,IF(INDEX('Flow Curves'!$A$5:$A$11,$X261)=INDEX('Flow Curves'!$A$5:$A$11,$W261),$Y261,$Y261+($Z261-$Y261)*(MAX(10,MIN(150,$C261))-INDEX('Flow Curves'!$A$5:$A$11,$W261))/(INDEX('Flow Curves'!$A$5:$A$11,$X261)-INDEX('Flow Curves'!$A$5:$A$11,$W261))))</f>
        <v>0</v>
      </c>
      <c r="P261" s="20" t="n">
        <f aca="false">IF(OR($B261="Air",$B261="Open Blow"),$O261*60*Cost!$D$16*Cost!$D$17/Cost!$D$5*Cost!$D$13,0)</f>
        <v>0</v>
      </c>
      <c r="Q261" s="17"/>
      <c r="U261" s="16" t="str">
        <f aca="false">IF($D261="","",IF(ISNA(MATCH($B261,Cost!$H$5:$H$11,0)),"CHECK GAS TYPE",IF(OR($C261&lt;10,$C261&gt;150),"CHECK PRESSURE: outside 10-150 psi table",IF(OR($D261&lt;1,$D261&gt;120),"CHECK dB: outside 1-120 table",IF(ISNA(MATCH($C261,'Flow Curves'!$A$5:$A$11,0)),"INTERPOLATED between curves","Table curve")))))</f>
        <v/>
      </c>
      <c r="W261" s="2" t="str">
        <f aca="false">IF(OR($D261="",$C261=""),"",MATCH(MAX(10,MIN(150,$C261)),'Flow Curves'!$A$5:$A$11,1))</f>
        <v/>
      </c>
      <c r="X261" s="2" t="str">
        <f aca="false">IF($W261="","",MIN($W261+1,7))</f>
        <v/>
      </c>
      <c r="Y261" s="2" t="str">
        <f aca="false">IF($W261="","",INDEX('Flow Curves'!$B$5:$B$11,$W261)*POWER($D261,INDEX('Flow Curves'!$C$5:$C$11,$W261)))</f>
        <v/>
      </c>
      <c r="Z261" s="2" t="str">
        <f aca="false">IF($W261="","",INDEX('Flow Curves'!$B$5:$B$11,$X261)*POWER($D261,INDEX('Flow Curves'!$C$5:$C$11,$X261)))</f>
        <v/>
      </c>
    </row>
    <row r="262" customFormat="false" ht="15" hidden="false" customHeight="false" outlineLevel="0" collapsed="false">
      <c r="A262" s="16" t="n">
        <v>255</v>
      </c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8" t="n">
        <f aca="false">IF($O262=0,0,$O262*60*Cost!$D$16*Cost!$D$17*IFERROR(INDEX(Cost!$I$5:$I$11,MATCH($B262,Cost!$H$5:$H$11,0)),0)/Cost!$D$5)</f>
        <v>0</v>
      </c>
      <c r="O262" s="19" t="n">
        <f aca="false">IF($W262="",0,IF(INDEX('Flow Curves'!$A$5:$A$11,$X262)=INDEX('Flow Curves'!$A$5:$A$11,$W262),$Y262,$Y262+($Z262-$Y262)*(MAX(10,MIN(150,$C262))-INDEX('Flow Curves'!$A$5:$A$11,$W262))/(INDEX('Flow Curves'!$A$5:$A$11,$X262)-INDEX('Flow Curves'!$A$5:$A$11,$W262))))</f>
        <v>0</v>
      </c>
      <c r="P262" s="20" t="n">
        <f aca="false">IF(OR($B262="Air",$B262="Open Blow"),$O262*60*Cost!$D$16*Cost!$D$17/Cost!$D$5*Cost!$D$13,0)</f>
        <v>0</v>
      </c>
      <c r="Q262" s="17"/>
      <c r="U262" s="16" t="str">
        <f aca="false">IF($D262="","",IF(ISNA(MATCH($B262,Cost!$H$5:$H$11,0)),"CHECK GAS TYPE",IF(OR($C262&lt;10,$C262&gt;150),"CHECK PRESSURE: outside 10-150 psi table",IF(OR($D262&lt;1,$D262&gt;120),"CHECK dB: outside 1-120 table",IF(ISNA(MATCH($C262,'Flow Curves'!$A$5:$A$11,0)),"INTERPOLATED between curves","Table curve")))))</f>
        <v/>
      </c>
      <c r="W262" s="2" t="str">
        <f aca="false">IF(OR($D262="",$C262=""),"",MATCH(MAX(10,MIN(150,$C262)),'Flow Curves'!$A$5:$A$11,1))</f>
        <v/>
      </c>
      <c r="X262" s="2" t="str">
        <f aca="false">IF($W262="","",MIN($W262+1,7))</f>
        <v/>
      </c>
      <c r="Y262" s="2" t="str">
        <f aca="false">IF($W262="","",INDEX('Flow Curves'!$B$5:$B$11,$W262)*POWER($D262,INDEX('Flow Curves'!$C$5:$C$11,$W262)))</f>
        <v/>
      </c>
      <c r="Z262" s="2" t="str">
        <f aca="false">IF($W262="","",INDEX('Flow Curves'!$B$5:$B$11,$X262)*POWER($D262,INDEX('Flow Curves'!$C$5:$C$11,$X262)))</f>
        <v/>
      </c>
    </row>
    <row r="263" customFormat="false" ht="15" hidden="false" customHeight="false" outlineLevel="0" collapsed="false">
      <c r="A263" s="16" t="n">
        <v>256</v>
      </c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8" t="n">
        <f aca="false">IF($O263=0,0,$O263*60*Cost!$D$16*Cost!$D$17*IFERROR(INDEX(Cost!$I$5:$I$11,MATCH($B263,Cost!$H$5:$H$11,0)),0)/Cost!$D$5)</f>
        <v>0</v>
      </c>
      <c r="O263" s="19" t="n">
        <f aca="false">IF($W263="",0,IF(INDEX('Flow Curves'!$A$5:$A$11,$X263)=INDEX('Flow Curves'!$A$5:$A$11,$W263),$Y263,$Y263+($Z263-$Y263)*(MAX(10,MIN(150,$C263))-INDEX('Flow Curves'!$A$5:$A$11,$W263))/(INDEX('Flow Curves'!$A$5:$A$11,$X263)-INDEX('Flow Curves'!$A$5:$A$11,$W263))))</f>
        <v>0</v>
      </c>
      <c r="P263" s="20" t="n">
        <f aca="false">IF(OR($B263="Air",$B263="Open Blow"),$O263*60*Cost!$D$16*Cost!$D$17/Cost!$D$5*Cost!$D$13,0)</f>
        <v>0</v>
      </c>
      <c r="Q263" s="17"/>
      <c r="U263" s="16" t="str">
        <f aca="false">IF($D263="","",IF(ISNA(MATCH($B263,Cost!$H$5:$H$11,0)),"CHECK GAS TYPE",IF(OR($C263&lt;10,$C263&gt;150),"CHECK PRESSURE: outside 10-150 psi table",IF(OR($D263&lt;1,$D263&gt;120),"CHECK dB: outside 1-120 table",IF(ISNA(MATCH($C263,'Flow Curves'!$A$5:$A$11,0)),"INTERPOLATED between curves","Table curve")))))</f>
        <v/>
      </c>
      <c r="W263" s="2" t="str">
        <f aca="false">IF(OR($D263="",$C263=""),"",MATCH(MAX(10,MIN(150,$C263)),'Flow Curves'!$A$5:$A$11,1))</f>
        <v/>
      </c>
      <c r="X263" s="2" t="str">
        <f aca="false">IF($W263="","",MIN($W263+1,7))</f>
        <v/>
      </c>
      <c r="Y263" s="2" t="str">
        <f aca="false">IF($W263="","",INDEX('Flow Curves'!$B$5:$B$11,$W263)*POWER($D263,INDEX('Flow Curves'!$C$5:$C$11,$W263)))</f>
        <v/>
      </c>
      <c r="Z263" s="2" t="str">
        <f aca="false">IF($W263="","",INDEX('Flow Curves'!$B$5:$B$11,$X263)*POWER($D263,INDEX('Flow Curves'!$C$5:$C$11,$X263)))</f>
        <v/>
      </c>
    </row>
    <row r="264" customFormat="false" ht="15" hidden="false" customHeight="false" outlineLevel="0" collapsed="false">
      <c r="A264" s="16" t="n">
        <v>257</v>
      </c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8" t="n">
        <f aca="false">IF($O264=0,0,$O264*60*Cost!$D$16*Cost!$D$17*IFERROR(INDEX(Cost!$I$5:$I$11,MATCH($B264,Cost!$H$5:$H$11,0)),0)/Cost!$D$5)</f>
        <v>0</v>
      </c>
      <c r="O264" s="19" t="n">
        <f aca="false">IF($W264="",0,IF(INDEX('Flow Curves'!$A$5:$A$11,$X264)=INDEX('Flow Curves'!$A$5:$A$11,$W264),$Y264,$Y264+($Z264-$Y264)*(MAX(10,MIN(150,$C264))-INDEX('Flow Curves'!$A$5:$A$11,$W264))/(INDEX('Flow Curves'!$A$5:$A$11,$X264)-INDEX('Flow Curves'!$A$5:$A$11,$W264))))</f>
        <v>0</v>
      </c>
      <c r="P264" s="20" t="n">
        <f aca="false">IF(OR($B264="Air",$B264="Open Blow"),$O264*60*Cost!$D$16*Cost!$D$17/Cost!$D$5*Cost!$D$13,0)</f>
        <v>0</v>
      </c>
      <c r="Q264" s="17"/>
      <c r="U264" s="16" t="str">
        <f aca="false">IF($D264="","",IF(ISNA(MATCH($B264,Cost!$H$5:$H$11,0)),"CHECK GAS TYPE",IF(OR($C264&lt;10,$C264&gt;150),"CHECK PRESSURE: outside 10-150 psi table",IF(OR($D264&lt;1,$D264&gt;120),"CHECK dB: outside 1-120 table",IF(ISNA(MATCH($C264,'Flow Curves'!$A$5:$A$11,0)),"INTERPOLATED between curves","Table curve")))))</f>
        <v/>
      </c>
      <c r="W264" s="2" t="str">
        <f aca="false">IF(OR($D264="",$C264=""),"",MATCH(MAX(10,MIN(150,$C264)),'Flow Curves'!$A$5:$A$11,1))</f>
        <v/>
      </c>
      <c r="X264" s="2" t="str">
        <f aca="false">IF($W264="","",MIN($W264+1,7))</f>
        <v/>
      </c>
      <c r="Y264" s="2" t="str">
        <f aca="false">IF($W264="","",INDEX('Flow Curves'!$B$5:$B$11,$W264)*POWER($D264,INDEX('Flow Curves'!$C$5:$C$11,$W264)))</f>
        <v/>
      </c>
      <c r="Z264" s="2" t="str">
        <f aca="false">IF($W264="","",INDEX('Flow Curves'!$B$5:$B$11,$X264)*POWER($D264,INDEX('Flow Curves'!$C$5:$C$11,$X264)))</f>
        <v/>
      </c>
    </row>
    <row r="265" customFormat="false" ht="15" hidden="false" customHeight="false" outlineLevel="0" collapsed="false">
      <c r="A265" s="16" t="n">
        <v>258</v>
      </c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8" t="n">
        <f aca="false">IF($O265=0,0,$O265*60*Cost!$D$16*Cost!$D$17*IFERROR(INDEX(Cost!$I$5:$I$11,MATCH($B265,Cost!$H$5:$H$11,0)),0)/Cost!$D$5)</f>
        <v>0</v>
      </c>
      <c r="O265" s="19" t="n">
        <f aca="false">IF($W265="",0,IF(INDEX('Flow Curves'!$A$5:$A$11,$X265)=INDEX('Flow Curves'!$A$5:$A$11,$W265),$Y265,$Y265+($Z265-$Y265)*(MAX(10,MIN(150,$C265))-INDEX('Flow Curves'!$A$5:$A$11,$W265))/(INDEX('Flow Curves'!$A$5:$A$11,$X265)-INDEX('Flow Curves'!$A$5:$A$11,$W265))))</f>
        <v>0</v>
      </c>
      <c r="P265" s="20" t="n">
        <f aca="false">IF(OR($B265="Air",$B265="Open Blow"),$O265*60*Cost!$D$16*Cost!$D$17/Cost!$D$5*Cost!$D$13,0)</f>
        <v>0</v>
      </c>
      <c r="Q265" s="17"/>
      <c r="U265" s="16" t="str">
        <f aca="false">IF($D265="","",IF(ISNA(MATCH($B265,Cost!$H$5:$H$11,0)),"CHECK GAS TYPE",IF(OR($C265&lt;10,$C265&gt;150),"CHECK PRESSURE: outside 10-150 psi table",IF(OR($D265&lt;1,$D265&gt;120),"CHECK dB: outside 1-120 table",IF(ISNA(MATCH($C265,'Flow Curves'!$A$5:$A$11,0)),"INTERPOLATED between curves","Table curve")))))</f>
        <v/>
      </c>
      <c r="W265" s="2" t="str">
        <f aca="false">IF(OR($D265="",$C265=""),"",MATCH(MAX(10,MIN(150,$C265)),'Flow Curves'!$A$5:$A$11,1))</f>
        <v/>
      </c>
      <c r="X265" s="2" t="str">
        <f aca="false">IF($W265="","",MIN($W265+1,7))</f>
        <v/>
      </c>
      <c r="Y265" s="2" t="str">
        <f aca="false">IF($W265="","",INDEX('Flow Curves'!$B$5:$B$11,$W265)*POWER($D265,INDEX('Flow Curves'!$C$5:$C$11,$W265)))</f>
        <v/>
      </c>
      <c r="Z265" s="2" t="str">
        <f aca="false">IF($W265="","",INDEX('Flow Curves'!$B$5:$B$11,$X265)*POWER($D265,INDEX('Flow Curves'!$C$5:$C$11,$X265)))</f>
        <v/>
      </c>
    </row>
    <row r="266" customFormat="false" ht="15" hidden="false" customHeight="false" outlineLevel="0" collapsed="false">
      <c r="A266" s="16" t="n">
        <v>259</v>
      </c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8" t="n">
        <f aca="false">IF($O266=0,0,$O266*60*Cost!$D$16*Cost!$D$17*IFERROR(INDEX(Cost!$I$5:$I$11,MATCH($B266,Cost!$H$5:$H$11,0)),0)/Cost!$D$5)</f>
        <v>0</v>
      </c>
      <c r="O266" s="19" t="n">
        <f aca="false">IF($W266="",0,IF(INDEX('Flow Curves'!$A$5:$A$11,$X266)=INDEX('Flow Curves'!$A$5:$A$11,$W266),$Y266,$Y266+($Z266-$Y266)*(MAX(10,MIN(150,$C266))-INDEX('Flow Curves'!$A$5:$A$11,$W266))/(INDEX('Flow Curves'!$A$5:$A$11,$X266)-INDEX('Flow Curves'!$A$5:$A$11,$W266))))</f>
        <v>0</v>
      </c>
      <c r="P266" s="20" t="n">
        <f aca="false">IF(OR($B266="Air",$B266="Open Blow"),$O266*60*Cost!$D$16*Cost!$D$17/Cost!$D$5*Cost!$D$13,0)</f>
        <v>0</v>
      </c>
      <c r="Q266" s="17"/>
      <c r="U266" s="16" t="str">
        <f aca="false">IF($D266="","",IF(ISNA(MATCH($B266,Cost!$H$5:$H$11,0)),"CHECK GAS TYPE",IF(OR($C266&lt;10,$C266&gt;150),"CHECK PRESSURE: outside 10-150 psi table",IF(OR($D266&lt;1,$D266&gt;120),"CHECK dB: outside 1-120 table",IF(ISNA(MATCH($C266,'Flow Curves'!$A$5:$A$11,0)),"INTERPOLATED between curves","Table curve")))))</f>
        <v/>
      </c>
      <c r="W266" s="2" t="str">
        <f aca="false">IF(OR($D266="",$C266=""),"",MATCH(MAX(10,MIN(150,$C266)),'Flow Curves'!$A$5:$A$11,1))</f>
        <v/>
      </c>
      <c r="X266" s="2" t="str">
        <f aca="false">IF($W266="","",MIN($W266+1,7))</f>
        <v/>
      </c>
      <c r="Y266" s="2" t="str">
        <f aca="false">IF($W266="","",INDEX('Flow Curves'!$B$5:$B$11,$W266)*POWER($D266,INDEX('Flow Curves'!$C$5:$C$11,$W266)))</f>
        <v/>
      </c>
      <c r="Z266" s="2" t="str">
        <f aca="false">IF($W266="","",INDEX('Flow Curves'!$B$5:$B$11,$X266)*POWER($D266,INDEX('Flow Curves'!$C$5:$C$11,$X266)))</f>
        <v/>
      </c>
    </row>
    <row r="267" customFormat="false" ht="15" hidden="false" customHeight="false" outlineLevel="0" collapsed="false">
      <c r="A267" s="16" t="n">
        <v>260</v>
      </c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8" t="n">
        <f aca="false">IF($O267=0,0,$O267*60*Cost!$D$16*Cost!$D$17*IFERROR(INDEX(Cost!$I$5:$I$11,MATCH($B267,Cost!$H$5:$H$11,0)),0)/Cost!$D$5)</f>
        <v>0</v>
      </c>
      <c r="O267" s="19" t="n">
        <f aca="false">IF($W267="",0,IF(INDEX('Flow Curves'!$A$5:$A$11,$X267)=INDEX('Flow Curves'!$A$5:$A$11,$W267),$Y267,$Y267+($Z267-$Y267)*(MAX(10,MIN(150,$C267))-INDEX('Flow Curves'!$A$5:$A$11,$W267))/(INDEX('Flow Curves'!$A$5:$A$11,$X267)-INDEX('Flow Curves'!$A$5:$A$11,$W267))))</f>
        <v>0</v>
      </c>
      <c r="P267" s="20" t="n">
        <f aca="false">IF(OR($B267="Air",$B267="Open Blow"),$O267*60*Cost!$D$16*Cost!$D$17/Cost!$D$5*Cost!$D$13,0)</f>
        <v>0</v>
      </c>
      <c r="Q267" s="17"/>
      <c r="U267" s="16" t="str">
        <f aca="false">IF($D267="","",IF(ISNA(MATCH($B267,Cost!$H$5:$H$11,0)),"CHECK GAS TYPE",IF(OR($C267&lt;10,$C267&gt;150),"CHECK PRESSURE: outside 10-150 psi table",IF(OR($D267&lt;1,$D267&gt;120),"CHECK dB: outside 1-120 table",IF(ISNA(MATCH($C267,'Flow Curves'!$A$5:$A$11,0)),"INTERPOLATED between curves","Table curve")))))</f>
        <v/>
      </c>
      <c r="W267" s="2" t="str">
        <f aca="false">IF(OR($D267="",$C267=""),"",MATCH(MAX(10,MIN(150,$C267)),'Flow Curves'!$A$5:$A$11,1))</f>
        <v/>
      </c>
      <c r="X267" s="2" t="str">
        <f aca="false">IF($W267="","",MIN($W267+1,7))</f>
        <v/>
      </c>
      <c r="Y267" s="2" t="str">
        <f aca="false">IF($W267="","",INDEX('Flow Curves'!$B$5:$B$11,$W267)*POWER($D267,INDEX('Flow Curves'!$C$5:$C$11,$W267)))</f>
        <v/>
      </c>
      <c r="Z267" s="2" t="str">
        <f aca="false">IF($W267="","",INDEX('Flow Curves'!$B$5:$B$11,$X267)*POWER($D267,INDEX('Flow Curves'!$C$5:$C$11,$X267)))</f>
        <v/>
      </c>
    </row>
    <row r="268" customFormat="false" ht="15" hidden="false" customHeight="false" outlineLevel="0" collapsed="false">
      <c r="A268" s="16" t="n">
        <v>261</v>
      </c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8" t="n">
        <f aca="false">IF($O268=0,0,$O268*60*Cost!$D$16*Cost!$D$17*IFERROR(INDEX(Cost!$I$5:$I$11,MATCH($B268,Cost!$H$5:$H$11,0)),0)/Cost!$D$5)</f>
        <v>0</v>
      </c>
      <c r="O268" s="19" t="n">
        <f aca="false">IF($W268="",0,IF(INDEX('Flow Curves'!$A$5:$A$11,$X268)=INDEX('Flow Curves'!$A$5:$A$11,$W268),$Y268,$Y268+($Z268-$Y268)*(MAX(10,MIN(150,$C268))-INDEX('Flow Curves'!$A$5:$A$11,$W268))/(INDEX('Flow Curves'!$A$5:$A$11,$X268)-INDEX('Flow Curves'!$A$5:$A$11,$W268))))</f>
        <v>0</v>
      </c>
      <c r="P268" s="20" t="n">
        <f aca="false">IF(OR($B268="Air",$B268="Open Blow"),$O268*60*Cost!$D$16*Cost!$D$17/Cost!$D$5*Cost!$D$13,0)</f>
        <v>0</v>
      </c>
      <c r="Q268" s="17"/>
      <c r="U268" s="16" t="str">
        <f aca="false">IF($D268="","",IF(ISNA(MATCH($B268,Cost!$H$5:$H$11,0)),"CHECK GAS TYPE",IF(OR($C268&lt;10,$C268&gt;150),"CHECK PRESSURE: outside 10-150 psi table",IF(OR($D268&lt;1,$D268&gt;120),"CHECK dB: outside 1-120 table",IF(ISNA(MATCH($C268,'Flow Curves'!$A$5:$A$11,0)),"INTERPOLATED between curves","Table curve")))))</f>
        <v/>
      </c>
      <c r="W268" s="2" t="str">
        <f aca="false">IF(OR($D268="",$C268=""),"",MATCH(MAX(10,MIN(150,$C268)),'Flow Curves'!$A$5:$A$11,1))</f>
        <v/>
      </c>
      <c r="X268" s="2" t="str">
        <f aca="false">IF($W268="","",MIN($W268+1,7))</f>
        <v/>
      </c>
      <c r="Y268" s="2" t="str">
        <f aca="false">IF($W268="","",INDEX('Flow Curves'!$B$5:$B$11,$W268)*POWER($D268,INDEX('Flow Curves'!$C$5:$C$11,$W268)))</f>
        <v/>
      </c>
      <c r="Z268" s="2" t="str">
        <f aca="false">IF($W268="","",INDEX('Flow Curves'!$B$5:$B$11,$X268)*POWER($D268,INDEX('Flow Curves'!$C$5:$C$11,$X268)))</f>
        <v/>
      </c>
    </row>
    <row r="269" customFormat="false" ht="15" hidden="false" customHeight="false" outlineLevel="0" collapsed="false">
      <c r="A269" s="16" t="n">
        <v>262</v>
      </c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8" t="n">
        <f aca="false">IF($O269=0,0,$O269*60*Cost!$D$16*Cost!$D$17*IFERROR(INDEX(Cost!$I$5:$I$11,MATCH($B269,Cost!$H$5:$H$11,0)),0)/Cost!$D$5)</f>
        <v>0</v>
      </c>
      <c r="O269" s="19" t="n">
        <f aca="false">IF($W269="",0,IF(INDEX('Flow Curves'!$A$5:$A$11,$X269)=INDEX('Flow Curves'!$A$5:$A$11,$W269),$Y269,$Y269+($Z269-$Y269)*(MAX(10,MIN(150,$C269))-INDEX('Flow Curves'!$A$5:$A$11,$W269))/(INDEX('Flow Curves'!$A$5:$A$11,$X269)-INDEX('Flow Curves'!$A$5:$A$11,$W269))))</f>
        <v>0</v>
      </c>
      <c r="P269" s="20" t="n">
        <f aca="false">IF(OR($B269="Air",$B269="Open Blow"),$O269*60*Cost!$D$16*Cost!$D$17/Cost!$D$5*Cost!$D$13,0)</f>
        <v>0</v>
      </c>
      <c r="Q269" s="17"/>
      <c r="U269" s="16" t="str">
        <f aca="false">IF($D269="","",IF(ISNA(MATCH($B269,Cost!$H$5:$H$11,0)),"CHECK GAS TYPE",IF(OR($C269&lt;10,$C269&gt;150),"CHECK PRESSURE: outside 10-150 psi table",IF(OR($D269&lt;1,$D269&gt;120),"CHECK dB: outside 1-120 table",IF(ISNA(MATCH($C269,'Flow Curves'!$A$5:$A$11,0)),"INTERPOLATED between curves","Table curve")))))</f>
        <v/>
      </c>
      <c r="W269" s="2" t="str">
        <f aca="false">IF(OR($D269="",$C269=""),"",MATCH(MAX(10,MIN(150,$C269)),'Flow Curves'!$A$5:$A$11,1))</f>
        <v/>
      </c>
      <c r="X269" s="2" t="str">
        <f aca="false">IF($W269="","",MIN($W269+1,7))</f>
        <v/>
      </c>
      <c r="Y269" s="2" t="str">
        <f aca="false">IF($W269="","",INDEX('Flow Curves'!$B$5:$B$11,$W269)*POWER($D269,INDEX('Flow Curves'!$C$5:$C$11,$W269)))</f>
        <v/>
      </c>
      <c r="Z269" s="2" t="str">
        <f aca="false">IF($W269="","",INDEX('Flow Curves'!$B$5:$B$11,$X269)*POWER($D269,INDEX('Flow Curves'!$C$5:$C$11,$X269)))</f>
        <v/>
      </c>
    </row>
    <row r="270" customFormat="false" ht="15" hidden="false" customHeight="false" outlineLevel="0" collapsed="false">
      <c r="A270" s="16" t="n">
        <v>263</v>
      </c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8" t="n">
        <f aca="false">IF($O270=0,0,$O270*60*Cost!$D$16*Cost!$D$17*IFERROR(INDEX(Cost!$I$5:$I$11,MATCH($B270,Cost!$H$5:$H$11,0)),0)/Cost!$D$5)</f>
        <v>0</v>
      </c>
      <c r="O270" s="19" t="n">
        <f aca="false">IF($W270="",0,IF(INDEX('Flow Curves'!$A$5:$A$11,$X270)=INDEX('Flow Curves'!$A$5:$A$11,$W270),$Y270,$Y270+($Z270-$Y270)*(MAX(10,MIN(150,$C270))-INDEX('Flow Curves'!$A$5:$A$11,$W270))/(INDEX('Flow Curves'!$A$5:$A$11,$X270)-INDEX('Flow Curves'!$A$5:$A$11,$W270))))</f>
        <v>0</v>
      </c>
      <c r="P270" s="20" t="n">
        <f aca="false">IF(OR($B270="Air",$B270="Open Blow"),$O270*60*Cost!$D$16*Cost!$D$17/Cost!$D$5*Cost!$D$13,0)</f>
        <v>0</v>
      </c>
      <c r="Q270" s="17"/>
      <c r="U270" s="16" t="str">
        <f aca="false">IF($D270="","",IF(ISNA(MATCH($B270,Cost!$H$5:$H$11,0)),"CHECK GAS TYPE",IF(OR($C270&lt;10,$C270&gt;150),"CHECK PRESSURE: outside 10-150 psi table",IF(OR($D270&lt;1,$D270&gt;120),"CHECK dB: outside 1-120 table",IF(ISNA(MATCH($C270,'Flow Curves'!$A$5:$A$11,0)),"INTERPOLATED between curves","Table curve")))))</f>
        <v/>
      </c>
      <c r="W270" s="2" t="str">
        <f aca="false">IF(OR($D270="",$C270=""),"",MATCH(MAX(10,MIN(150,$C270)),'Flow Curves'!$A$5:$A$11,1))</f>
        <v/>
      </c>
      <c r="X270" s="2" t="str">
        <f aca="false">IF($W270="","",MIN($W270+1,7))</f>
        <v/>
      </c>
      <c r="Y270" s="2" t="str">
        <f aca="false">IF($W270="","",INDEX('Flow Curves'!$B$5:$B$11,$W270)*POWER($D270,INDEX('Flow Curves'!$C$5:$C$11,$W270)))</f>
        <v/>
      </c>
      <c r="Z270" s="2" t="str">
        <f aca="false">IF($W270="","",INDEX('Flow Curves'!$B$5:$B$11,$X270)*POWER($D270,INDEX('Flow Curves'!$C$5:$C$11,$X270)))</f>
        <v/>
      </c>
    </row>
    <row r="271" customFormat="false" ht="15" hidden="false" customHeight="false" outlineLevel="0" collapsed="false">
      <c r="A271" s="16" t="n">
        <v>264</v>
      </c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8" t="n">
        <f aca="false">IF($O271=0,0,$O271*60*Cost!$D$16*Cost!$D$17*IFERROR(INDEX(Cost!$I$5:$I$11,MATCH($B271,Cost!$H$5:$H$11,0)),0)/Cost!$D$5)</f>
        <v>0</v>
      </c>
      <c r="O271" s="19" t="n">
        <f aca="false">IF($W271="",0,IF(INDEX('Flow Curves'!$A$5:$A$11,$X271)=INDEX('Flow Curves'!$A$5:$A$11,$W271),$Y271,$Y271+($Z271-$Y271)*(MAX(10,MIN(150,$C271))-INDEX('Flow Curves'!$A$5:$A$11,$W271))/(INDEX('Flow Curves'!$A$5:$A$11,$X271)-INDEX('Flow Curves'!$A$5:$A$11,$W271))))</f>
        <v>0</v>
      </c>
      <c r="P271" s="20" t="n">
        <f aca="false">IF(OR($B271="Air",$B271="Open Blow"),$O271*60*Cost!$D$16*Cost!$D$17/Cost!$D$5*Cost!$D$13,0)</f>
        <v>0</v>
      </c>
      <c r="Q271" s="17"/>
      <c r="U271" s="16" t="str">
        <f aca="false">IF($D271="","",IF(ISNA(MATCH($B271,Cost!$H$5:$H$11,0)),"CHECK GAS TYPE",IF(OR($C271&lt;10,$C271&gt;150),"CHECK PRESSURE: outside 10-150 psi table",IF(OR($D271&lt;1,$D271&gt;120),"CHECK dB: outside 1-120 table",IF(ISNA(MATCH($C271,'Flow Curves'!$A$5:$A$11,0)),"INTERPOLATED between curves","Table curve")))))</f>
        <v/>
      </c>
      <c r="W271" s="2" t="str">
        <f aca="false">IF(OR($D271="",$C271=""),"",MATCH(MAX(10,MIN(150,$C271)),'Flow Curves'!$A$5:$A$11,1))</f>
        <v/>
      </c>
      <c r="X271" s="2" t="str">
        <f aca="false">IF($W271="","",MIN($W271+1,7))</f>
        <v/>
      </c>
      <c r="Y271" s="2" t="str">
        <f aca="false">IF($W271="","",INDEX('Flow Curves'!$B$5:$B$11,$W271)*POWER($D271,INDEX('Flow Curves'!$C$5:$C$11,$W271)))</f>
        <v/>
      </c>
      <c r="Z271" s="2" t="str">
        <f aca="false">IF($W271="","",INDEX('Flow Curves'!$B$5:$B$11,$X271)*POWER($D271,INDEX('Flow Curves'!$C$5:$C$11,$X271)))</f>
        <v/>
      </c>
    </row>
    <row r="272" customFormat="false" ht="15" hidden="false" customHeight="false" outlineLevel="0" collapsed="false">
      <c r="A272" s="16" t="n">
        <v>265</v>
      </c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8" t="n">
        <f aca="false">IF($O272=0,0,$O272*60*Cost!$D$16*Cost!$D$17*IFERROR(INDEX(Cost!$I$5:$I$11,MATCH($B272,Cost!$H$5:$H$11,0)),0)/Cost!$D$5)</f>
        <v>0</v>
      </c>
      <c r="O272" s="19" t="n">
        <f aca="false">IF($W272="",0,IF(INDEX('Flow Curves'!$A$5:$A$11,$X272)=INDEX('Flow Curves'!$A$5:$A$11,$W272),$Y272,$Y272+($Z272-$Y272)*(MAX(10,MIN(150,$C272))-INDEX('Flow Curves'!$A$5:$A$11,$W272))/(INDEX('Flow Curves'!$A$5:$A$11,$X272)-INDEX('Flow Curves'!$A$5:$A$11,$W272))))</f>
        <v>0</v>
      </c>
      <c r="P272" s="20" t="n">
        <f aca="false">IF(OR($B272="Air",$B272="Open Blow"),$O272*60*Cost!$D$16*Cost!$D$17/Cost!$D$5*Cost!$D$13,0)</f>
        <v>0</v>
      </c>
      <c r="Q272" s="17"/>
      <c r="U272" s="16" t="str">
        <f aca="false">IF($D272="","",IF(ISNA(MATCH($B272,Cost!$H$5:$H$11,0)),"CHECK GAS TYPE",IF(OR($C272&lt;10,$C272&gt;150),"CHECK PRESSURE: outside 10-150 psi table",IF(OR($D272&lt;1,$D272&gt;120),"CHECK dB: outside 1-120 table",IF(ISNA(MATCH($C272,'Flow Curves'!$A$5:$A$11,0)),"INTERPOLATED between curves","Table curve")))))</f>
        <v/>
      </c>
      <c r="W272" s="2" t="str">
        <f aca="false">IF(OR($D272="",$C272=""),"",MATCH(MAX(10,MIN(150,$C272)),'Flow Curves'!$A$5:$A$11,1))</f>
        <v/>
      </c>
      <c r="X272" s="2" t="str">
        <f aca="false">IF($W272="","",MIN($W272+1,7))</f>
        <v/>
      </c>
      <c r="Y272" s="2" t="str">
        <f aca="false">IF($W272="","",INDEX('Flow Curves'!$B$5:$B$11,$W272)*POWER($D272,INDEX('Flow Curves'!$C$5:$C$11,$W272)))</f>
        <v/>
      </c>
      <c r="Z272" s="2" t="str">
        <f aca="false">IF($W272="","",INDEX('Flow Curves'!$B$5:$B$11,$X272)*POWER($D272,INDEX('Flow Curves'!$C$5:$C$11,$X272)))</f>
        <v/>
      </c>
    </row>
    <row r="273" customFormat="false" ht="15" hidden="false" customHeight="false" outlineLevel="0" collapsed="false">
      <c r="A273" s="16" t="n">
        <v>266</v>
      </c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8" t="n">
        <f aca="false">IF($O273=0,0,$O273*60*Cost!$D$16*Cost!$D$17*IFERROR(INDEX(Cost!$I$5:$I$11,MATCH($B273,Cost!$H$5:$H$11,0)),0)/Cost!$D$5)</f>
        <v>0</v>
      </c>
      <c r="O273" s="19" t="n">
        <f aca="false">IF($W273="",0,IF(INDEX('Flow Curves'!$A$5:$A$11,$X273)=INDEX('Flow Curves'!$A$5:$A$11,$W273),$Y273,$Y273+($Z273-$Y273)*(MAX(10,MIN(150,$C273))-INDEX('Flow Curves'!$A$5:$A$11,$W273))/(INDEX('Flow Curves'!$A$5:$A$11,$X273)-INDEX('Flow Curves'!$A$5:$A$11,$W273))))</f>
        <v>0</v>
      </c>
      <c r="P273" s="20" t="n">
        <f aca="false">IF(OR($B273="Air",$B273="Open Blow"),$O273*60*Cost!$D$16*Cost!$D$17/Cost!$D$5*Cost!$D$13,0)</f>
        <v>0</v>
      </c>
      <c r="Q273" s="17"/>
      <c r="U273" s="16" t="str">
        <f aca="false">IF($D273="","",IF(ISNA(MATCH($B273,Cost!$H$5:$H$11,0)),"CHECK GAS TYPE",IF(OR($C273&lt;10,$C273&gt;150),"CHECK PRESSURE: outside 10-150 psi table",IF(OR($D273&lt;1,$D273&gt;120),"CHECK dB: outside 1-120 table",IF(ISNA(MATCH($C273,'Flow Curves'!$A$5:$A$11,0)),"INTERPOLATED between curves","Table curve")))))</f>
        <v/>
      </c>
      <c r="W273" s="2" t="str">
        <f aca="false">IF(OR($D273="",$C273=""),"",MATCH(MAX(10,MIN(150,$C273)),'Flow Curves'!$A$5:$A$11,1))</f>
        <v/>
      </c>
      <c r="X273" s="2" t="str">
        <f aca="false">IF($W273="","",MIN($W273+1,7))</f>
        <v/>
      </c>
      <c r="Y273" s="2" t="str">
        <f aca="false">IF($W273="","",INDEX('Flow Curves'!$B$5:$B$11,$W273)*POWER($D273,INDEX('Flow Curves'!$C$5:$C$11,$W273)))</f>
        <v/>
      </c>
      <c r="Z273" s="2" t="str">
        <f aca="false">IF($W273="","",INDEX('Flow Curves'!$B$5:$B$11,$X273)*POWER($D273,INDEX('Flow Curves'!$C$5:$C$11,$X273)))</f>
        <v/>
      </c>
    </row>
    <row r="274" customFormat="false" ht="15" hidden="false" customHeight="false" outlineLevel="0" collapsed="false">
      <c r="A274" s="16" t="n">
        <v>267</v>
      </c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8" t="n">
        <f aca="false">IF($O274=0,0,$O274*60*Cost!$D$16*Cost!$D$17*IFERROR(INDEX(Cost!$I$5:$I$11,MATCH($B274,Cost!$H$5:$H$11,0)),0)/Cost!$D$5)</f>
        <v>0</v>
      </c>
      <c r="O274" s="19" t="n">
        <f aca="false">IF($W274="",0,IF(INDEX('Flow Curves'!$A$5:$A$11,$X274)=INDEX('Flow Curves'!$A$5:$A$11,$W274),$Y274,$Y274+($Z274-$Y274)*(MAX(10,MIN(150,$C274))-INDEX('Flow Curves'!$A$5:$A$11,$W274))/(INDEX('Flow Curves'!$A$5:$A$11,$X274)-INDEX('Flow Curves'!$A$5:$A$11,$W274))))</f>
        <v>0</v>
      </c>
      <c r="P274" s="20" t="n">
        <f aca="false">IF(OR($B274="Air",$B274="Open Blow"),$O274*60*Cost!$D$16*Cost!$D$17/Cost!$D$5*Cost!$D$13,0)</f>
        <v>0</v>
      </c>
      <c r="Q274" s="17"/>
      <c r="U274" s="16" t="str">
        <f aca="false">IF($D274="","",IF(ISNA(MATCH($B274,Cost!$H$5:$H$11,0)),"CHECK GAS TYPE",IF(OR($C274&lt;10,$C274&gt;150),"CHECK PRESSURE: outside 10-150 psi table",IF(OR($D274&lt;1,$D274&gt;120),"CHECK dB: outside 1-120 table",IF(ISNA(MATCH($C274,'Flow Curves'!$A$5:$A$11,0)),"INTERPOLATED between curves","Table curve")))))</f>
        <v/>
      </c>
      <c r="W274" s="2" t="str">
        <f aca="false">IF(OR($D274="",$C274=""),"",MATCH(MAX(10,MIN(150,$C274)),'Flow Curves'!$A$5:$A$11,1))</f>
        <v/>
      </c>
      <c r="X274" s="2" t="str">
        <f aca="false">IF($W274="","",MIN($W274+1,7))</f>
        <v/>
      </c>
      <c r="Y274" s="2" t="str">
        <f aca="false">IF($W274="","",INDEX('Flow Curves'!$B$5:$B$11,$W274)*POWER($D274,INDEX('Flow Curves'!$C$5:$C$11,$W274)))</f>
        <v/>
      </c>
      <c r="Z274" s="2" t="str">
        <f aca="false">IF($W274="","",INDEX('Flow Curves'!$B$5:$B$11,$X274)*POWER($D274,INDEX('Flow Curves'!$C$5:$C$11,$X274)))</f>
        <v/>
      </c>
    </row>
    <row r="275" customFormat="false" ht="15" hidden="false" customHeight="false" outlineLevel="0" collapsed="false">
      <c r="A275" s="16" t="n">
        <v>268</v>
      </c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8" t="n">
        <f aca="false">IF($O275=0,0,$O275*60*Cost!$D$16*Cost!$D$17*IFERROR(INDEX(Cost!$I$5:$I$11,MATCH($B275,Cost!$H$5:$H$11,0)),0)/Cost!$D$5)</f>
        <v>0</v>
      </c>
      <c r="O275" s="19" t="n">
        <f aca="false">IF($W275="",0,IF(INDEX('Flow Curves'!$A$5:$A$11,$X275)=INDEX('Flow Curves'!$A$5:$A$11,$W275),$Y275,$Y275+($Z275-$Y275)*(MAX(10,MIN(150,$C275))-INDEX('Flow Curves'!$A$5:$A$11,$W275))/(INDEX('Flow Curves'!$A$5:$A$11,$X275)-INDEX('Flow Curves'!$A$5:$A$11,$W275))))</f>
        <v>0</v>
      </c>
      <c r="P275" s="20" t="n">
        <f aca="false">IF(OR($B275="Air",$B275="Open Blow"),$O275*60*Cost!$D$16*Cost!$D$17/Cost!$D$5*Cost!$D$13,0)</f>
        <v>0</v>
      </c>
      <c r="Q275" s="17"/>
      <c r="U275" s="16" t="str">
        <f aca="false">IF($D275="","",IF(ISNA(MATCH($B275,Cost!$H$5:$H$11,0)),"CHECK GAS TYPE",IF(OR($C275&lt;10,$C275&gt;150),"CHECK PRESSURE: outside 10-150 psi table",IF(OR($D275&lt;1,$D275&gt;120),"CHECK dB: outside 1-120 table",IF(ISNA(MATCH($C275,'Flow Curves'!$A$5:$A$11,0)),"INTERPOLATED between curves","Table curve")))))</f>
        <v/>
      </c>
      <c r="W275" s="2" t="str">
        <f aca="false">IF(OR($D275="",$C275=""),"",MATCH(MAX(10,MIN(150,$C275)),'Flow Curves'!$A$5:$A$11,1))</f>
        <v/>
      </c>
      <c r="X275" s="2" t="str">
        <f aca="false">IF($W275="","",MIN($W275+1,7))</f>
        <v/>
      </c>
      <c r="Y275" s="2" t="str">
        <f aca="false">IF($W275="","",INDEX('Flow Curves'!$B$5:$B$11,$W275)*POWER($D275,INDEX('Flow Curves'!$C$5:$C$11,$W275)))</f>
        <v/>
      </c>
      <c r="Z275" s="2" t="str">
        <f aca="false">IF($W275="","",INDEX('Flow Curves'!$B$5:$B$11,$X275)*POWER($D275,INDEX('Flow Curves'!$C$5:$C$11,$X275)))</f>
        <v/>
      </c>
    </row>
    <row r="276" customFormat="false" ht="15" hidden="false" customHeight="false" outlineLevel="0" collapsed="false">
      <c r="A276" s="16" t="n">
        <v>269</v>
      </c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8" t="n">
        <f aca="false">IF($O276=0,0,$O276*60*Cost!$D$16*Cost!$D$17*IFERROR(INDEX(Cost!$I$5:$I$11,MATCH($B276,Cost!$H$5:$H$11,0)),0)/Cost!$D$5)</f>
        <v>0</v>
      </c>
      <c r="O276" s="19" t="n">
        <f aca="false">IF($W276="",0,IF(INDEX('Flow Curves'!$A$5:$A$11,$X276)=INDEX('Flow Curves'!$A$5:$A$11,$W276),$Y276,$Y276+($Z276-$Y276)*(MAX(10,MIN(150,$C276))-INDEX('Flow Curves'!$A$5:$A$11,$W276))/(INDEX('Flow Curves'!$A$5:$A$11,$X276)-INDEX('Flow Curves'!$A$5:$A$11,$W276))))</f>
        <v>0</v>
      </c>
      <c r="P276" s="20" t="n">
        <f aca="false">IF(OR($B276="Air",$B276="Open Blow"),$O276*60*Cost!$D$16*Cost!$D$17/Cost!$D$5*Cost!$D$13,0)</f>
        <v>0</v>
      </c>
      <c r="Q276" s="17"/>
      <c r="U276" s="16" t="str">
        <f aca="false">IF($D276="","",IF(ISNA(MATCH($B276,Cost!$H$5:$H$11,0)),"CHECK GAS TYPE",IF(OR($C276&lt;10,$C276&gt;150),"CHECK PRESSURE: outside 10-150 psi table",IF(OR($D276&lt;1,$D276&gt;120),"CHECK dB: outside 1-120 table",IF(ISNA(MATCH($C276,'Flow Curves'!$A$5:$A$11,0)),"INTERPOLATED between curves","Table curve")))))</f>
        <v/>
      </c>
      <c r="W276" s="2" t="str">
        <f aca="false">IF(OR($D276="",$C276=""),"",MATCH(MAX(10,MIN(150,$C276)),'Flow Curves'!$A$5:$A$11,1))</f>
        <v/>
      </c>
      <c r="X276" s="2" t="str">
        <f aca="false">IF($W276="","",MIN($W276+1,7))</f>
        <v/>
      </c>
      <c r="Y276" s="2" t="str">
        <f aca="false">IF($W276="","",INDEX('Flow Curves'!$B$5:$B$11,$W276)*POWER($D276,INDEX('Flow Curves'!$C$5:$C$11,$W276)))</f>
        <v/>
      </c>
      <c r="Z276" s="2" t="str">
        <f aca="false">IF($W276="","",INDEX('Flow Curves'!$B$5:$B$11,$X276)*POWER($D276,INDEX('Flow Curves'!$C$5:$C$11,$X276)))</f>
        <v/>
      </c>
    </row>
    <row r="277" customFormat="false" ht="15" hidden="false" customHeight="false" outlineLevel="0" collapsed="false">
      <c r="A277" s="16" t="n">
        <v>270</v>
      </c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8" t="n">
        <f aca="false">IF($O277=0,0,$O277*60*Cost!$D$16*Cost!$D$17*IFERROR(INDEX(Cost!$I$5:$I$11,MATCH($B277,Cost!$H$5:$H$11,0)),0)/Cost!$D$5)</f>
        <v>0</v>
      </c>
      <c r="O277" s="19" t="n">
        <f aca="false">IF($W277="",0,IF(INDEX('Flow Curves'!$A$5:$A$11,$X277)=INDEX('Flow Curves'!$A$5:$A$11,$W277),$Y277,$Y277+($Z277-$Y277)*(MAX(10,MIN(150,$C277))-INDEX('Flow Curves'!$A$5:$A$11,$W277))/(INDEX('Flow Curves'!$A$5:$A$11,$X277)-INDEX('Flow Curves'!$A$5:$A$11,$W277))))</f>
        <v>0</v>
      </c>
      <c r="P277" s="20" t="n">
        <f aca="false">IF(OR($B277="Air",$B277="Open Blow"),$O277*60*Cost!$D$16*Cost!$D$17/Cost!$D$5*Cost!$D$13,0)</f>
        <v>0</v>
      </c>
      <c r="Q277" s="17"/>
      <c r="U277" s="16" t="str">
        <f aca="false">IF($D277="","",IF(ISNA(MATCH($B277,Cost!$H$5:$H$11,0)),"CHECK GAS TYPE",IF(OR($C277&lt;10,$C277&gt;150),"CHECK PRESSURE: outside 10-150 psi table",IF(OR($D277&lt;1,$D277&gt;120),"CHECK dB: outside 1-120 table",IF(ISNA(MATCH($C277,'Flow Curves'!$A$5:$A$11,0)),"INTERPOLATED between curves","Table curve")))))</f>
        <v/>
      </c>
      <c r="W277" s="2" t="str">
        <f aca="false">IF(OR($D277="",$C277=""),"",MATCH(MAX(10,MIN(150,$C277)),'Flow Curves'!$A$5:$A$11,1))</f>
        <v/>
      </c>
      <c r="X277" s="2" t="str">
        <f aca="false">IF($W277="","",MIN($W277+1,7))</f>
        <v/>
      </c>
      <c r="Y277" s="2" t="str">
        <f aca="false">IF($W277="","",INDEX('Flow Curves'!$B$5:$B$11,$W277)*POWER($D277,INDEX('Flow Curves'!$C$5:$C$11,$W277)))</f>
        <v/>
      </c>
      <c r="Z277" s="2" t="str">
        <f aca="false">IF($W277="","",INDEX('Flow Curves'!$B$5:$B$11,$X277)*POWER($D277,INDEX('Flow Curves'!$C$5:$C$11,$X277)))</f>
        <v/>
      </c>
    </row>
    <row r="278" customFormat="false" ht="15" hidden="false" customHeight="false" outlineLevel="0" collapsed="false">
      <c r="A278" s="16" t="n">
        <v>271</v>
      </c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8" t="n">
        <f aca="false">IF($O278=0,0,$O278*60*Cost!$D$16*Cost!$D$17*IFERROR(INDEX(Cost!$I$5:$I$11,MATCH($B278,Cost!$H$5:$H$11,0)),0)/Cost!$D$5)</f>
        <v>0</v>
      </c>
      <c r="O278" s="19" t="n">
        <f aca="false">IF($W278="",0,IF(INDEX('Flow Curves'!$A$5:$A$11,$X278)=INDEX('Flow Curves'!$A$5:$A$11,$W278),$Y278,$Y278+($Z278-$Y278)*(MAX(10,MIN(150,$C278))-INDEX('Flow Curves'!$A$5:$A$11,$W278))/(INDEX('Flow Curves'!$A$5:$A$11,$X278)-INDEX('Flow Curves'!$A$5:$A$11,$W278))))</f>
        <v>0</v>
      </c>
      <c r="P278" s="20" t="n">
        <f aca="false">IF(OR($B278="Air",$B278="Open Blow"),$O278*60*Cost!$D$16*Cost!$D$17/Cost!$D$5*Cost!$D$13,0)</f>
        <v>0</v>
      </c>
      <c r="Q278" s="17"/>
      <c r="U278" s="16" t="str">
        <f aca="false">IF($D278="","",IF(ISNA(MATCH($B278,Cost!$H$5:$H$11,0)),"CHECK GAS TYPE",IF(OR($C278&lt;10,$C278&gt;150),"CHECK PRESSURE: outside 10-150 psi table",IF(OR($D278&lt;1,$D278&gt;120),"CHECK dB: outside 1-120 table",IF(ISNA(MATCH($C278,'Flow Curves'!$A$5:$A$11,0)),"INTERPOLATED between curves","Table curve")))))</f>
        <v/>
      </c>
      <c r="W278" s="2" t="str">
        <f aca="false">IF(OR($D278="",$C278=""),"",MATCH(MAX(10,MIN(150,$C278)),'Flow Curves'!$A$5:$A$11,1))</f>
        <v/>
      </c>
      <c r="X278" s="2" t="str">
        <f aca="false">IF($W278="","",MIN($W278+1,7))</f>
        <v/>
      </c>
      <c r="Y278" s="2" t="str">
        <f aca="false">IF($W278="","",INDEX('Flow Curves'!$B$5:$B$11,$W278)*POWER($D278,INDEX('Flow Curves'!$C$5:$C$11,$W278)))</f>
        <v/>
      </c>
      <c r="Z278" s="2" t="str">
        <f aca="false">IF($W278="","",INDEX('Flow Curves'!$B$5:$B$11,$X278)*POWER($D278,INDEX('Flow Curves'!$C$5:$C$11,$X278)))</f>
        <v/>
      </c>
    </row>
    <row r="279" customFormat="false" ht="15" hidden="false" customHeight="false" outlineLevel="0" collapsed="false">
      <c r="A279" s="16" t="n">
        <v>272</v>
      </c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8" t="n">
        <f aca="false">IF($O279=0,0,$O279*60*Cost!$D$16*Cost!$D$17*IFERROR(INDEX(Cost!$I$5:$I$11,MATCH($B279,Cost!$H$5:$H$11,0)),0)/Cost!$D$5)</f>
        <v>0</v>
      </c>
      <c r="O279" s="19" t="n">
        <f aca="false">IF($W279="",0,IF(INDEX('Flow Curves'!$A$5:$A$11,$X279)=INDEX('Flow Curves'!$A$5:$A$11,$W279),$Y279,$Y279+($Z279-$Y279)*(MAX(10,MIN(150,$C279))-INDEX('Flow Curves'!$A$5:$A$11,$W279))/(INDEX('Flow Curves'!$A$5:$A$11,$X279)-INDEX('Flow Curves'!$A$5:$A$11,$W279))))</f>
        <v>0</v>
      </c>
      <c r="P279" s="20" t="n">
        <f aca="false">IF(OR($B279="Air",$B279="Open Blow"),$O279*60*Cost!$D$16*Cost!$D$17/Cost!$D$5*Cost!$D$13,0)</f>
        <v>0</v>
      </c>
      <c r="Q279" s="17"/>
      <c r="U279" s="16" t="str">
        <f aca="false">IF($D279="","",IF(ISNA(MATCH($B279,Cost!$H$5:$H$11,0)),"CHECK GAS TYPE",IF(OR($C279&lt;10,$C279&gt;150),"CHECK PRESSURE: outside 10-150 psi table",IF(OR($D279&lt;1,$D279&gt;120),"CHECK dB: outside 1-120 table",IF(ISNA(MATCH($C279,'Flow Curves'!$A$5:$A$11,0)),"INTERPOLATED between curves","Table curve")))))</f>
        <v/>
      </c>
      <c r="W279" s="2" t="str">
        <f aca="false">IF(OR($D279="",$C279=""),"",MATCH(MAX(10,MIN(150,$C279)),'Flow Curves'!$A$5:$A$11,1))</f>
        <v/>
      </c>
      <c r="X279" s="2" t="str">
        <f aca="false">IF($W279="","",MIN($W279+1,7))</f>
        <v/>
      </c>
      <c r="Y279" s="2" t="str">
        <f aca="false">IF($W279="","",INDEX('Flow Curves'!$B$5:$B$11,$W279)*POWER($D279,INDEX('Flow Curves'!$C$5:$C$11,$W279)))</f>
        <v/>
      </c>
      <c r="Z279" s="2" t="str">
        <f aca="false">IF($W279="","",INDEX('Flow Curves'!$B$5:$B$11,$X279)*POWER($D279,INDEX('Flow Curves'!$C$5:$C$11,$X279)))</f>
        <v/>
      </c>
    </row>
    <row r="280" customFormat="false" ht="15" hidden="false" customHeight="false" outlineLevel="0" collapsed="false">
      <c r="A280" s="16" t="n">
        <v>273</v>
      </c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8" t="n">
        <f aca="false">IF($O280=0,0,$O280*60*Cost!$D$16*Cost!$D$17*IFERROR(INDEX(Cost!$I$5:$I$11,MATCH($B280,Cost!$H$5:$H$11,0)),0)/Cost!$D$5)</f>
        <v>0</v>
      </c>
      <c r="O280" s="19" t="n">
        <f aca="false">IF($W280="",0,IF(INDEX('Flow Curves'!$A$5:$A$11,$X280)=INDEX('Flow Curves'!$A$5:$A$11,$W280),$Y280,$Y280+($Z280-$Y280)*(MAX(10,MIN(150,$C280))-INDEX('Flow Curves'!$A$5:$A$11,$W280))/(INDEX('Flow Curves'!$A$5:$A$11,$X280)-INDEX('Flow Curves'!$A$5:$A$11,$W280))))</f>
        <v>0</v>
      </c>
      <c r="P280" s="20" t="n">
        <f aca="false">IF(OR($B280="Air",$B280="Open Blow"),$O280*60*Cost!$D$16*Cost!$D$17/Cost!$D$5*Cost!$D$13,0)</f>
        <v>0</v>
      </c>
      <c r="Q280" s="17"/>
      <c r="U280" s="16" t="str">
        <f aca="false">IF($D280="","",IF(ISNA(MATCH($B280,Cost!$H$5:$H$11,0)),"CHECK GAS TYPE",IF(OR($C280&lt;10,$C280&gt;150),"CHECK PRESSURE: outside 10-150 psi table",IF(OR($D280&lt;1,$D280&gt;120),"CHECK dB: outside 1-120 table",IF(ISNA(MATCH($C280,'Flow Curves'!$A$5:$A$11,0)),"INTERPOLATED between curves","Table curve")))))</f>
        <v/>
      </c>
      <c r="W280" s="2" t="str">
        <f aca="false">IF(OR($D280="",$C280=""),"",MATCH(MAX(10,MIN(150,$C280)),'Flow Curves'!$A$5:$A$11,1))</f>
        <v/>
      </c>
      <c r="X280" s="2" t="str">
        <f aca="false">IF($W280="","",MIN($W280+1,7))</f>
        <v/>
      </c>
      <c r="Y280" s="2" t="str">
        <f aca="false">IF($W280="","",INDEX('Flow Curves'!$B$5:$B$11,$W280)*POWER($D280,INDEX('Flow Curves'!$C$5:$C$11,$W280)))</f>
        <v/>
      </c>
      <c r="Z280" s="2" t="str">
        <f aca="false">IF($W280="","",INDEX('Flow Curves'!$B$5:$B$11,$X280)*POWER($D280,INDEX('Flow Curves'!$C$5:$C$11,$X280)))</f>
        <v/>
      </c>
    </row>
    <row r="281" customFormat="false" ht="15" hidden="false" customHeight="false" outlineLevel="0" collapsed="false">
      <c r="A281" s="16" t="n">
        <v>274</v>
      </c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8" t="n">
        <f aca="false">IF($O281=0,0,$O281*60*Cost!$D$16*Cost!$D$17*IFERROR(INDEX(Cost!$I$5:$I$11,MATCH($B281,Cost!$H$5:$H$11,0)),0)/Cost!$D$5)</f>
        <v>0</v>
      </c>
      <c r="O281" s="19" t="n">
        <f aca="false">IF($W281="",0,IF(INDEX('Flow Curves'!$A$5:$A$11,$X281)=INDEX('Flow Curves'!$A$5:$A$11,$W281),$Y281,$Y281+($Z281-$Y281)*(MAX(10,MIN(150,$C281))-INDEX('Flow Curves'!$A$5:$A$11,$W281))/(INDEX('Flow Curves'!$A$5:$A$11,$X281)-INDEX('Flow Curves'!$A$5:$A$11,$W281))))</f>
        <v>0</v>
      </c>
      <c r="P281" s="20" t="n">
        <f aca="false">IF(OR($B281="Air",$B281="Open Blow"),$O281*60*Cost!$D$16*Cost!$D$17/Cost!$D$5*Cost!$D$13,0)</f>
        <v>0</v>
      </c>
      <c r="Q281" s="17"/>
      <c r="U281" s="16" t="str">
        <f aca="false">IF($D281="","",IF(ISNA(MATCH($B281,Cost!$H$5:$H$11,0)),"CHECK GAS TYPE",IF(OR($C281&lt;10,$C281&gt;150),"CHECK PRESSURE: outside 10-150 psi table",IF(OR($D281&lt;1,$D281&gt;120),"CHECK dB: outside 1-120 table",IF(ISNA(MATCH($C281,'Flow Curves'!$A$5:$A$11,0)),"INTERPOLATED between curves","Table curve")))))</f>
        <v/>
      </c>
      <c r="W281" s="2" t="str">
        <f aca="false">IF(OR($D281="",$C281=""),"",MATCH(MAX(10,MIN(150,$C281)),'Flow Curves'!$A$5:$A$11,1))</f>
        <v/>
      </c>
      <c r="X281" s="2" t="str">
        <f aca="false">IF($W281="","",MIN($W281+1,7))</f>
        <v/>
      </c>
      <c r="Y281" s="2" t="str">
        <f aca="false">IF($W281="","",INDEX('Flow Curves'!$B$5:$B$11,$W281)*POWER($D281,INDEX('Flow Curves'!$C$5:$C$11,$W281)))</f>
        <v/>
      </c>
      <c r="Z281" s="2" t="str">
        <f aca="false">IF($W281="","",INDEX('Flow Curves'!$B$5:$B$11,$X281)*POWER($D281,INDEX('Flow Curves'!$C$5:$C$11,$X281)))</f>
        <v/>
      </c>
    </row>
    <row r="282" customFormat="false" ht="15" hidden="false" customHeight="false" outlineLevel="0" collapsed="false">
      <c r="A282" s="16" t="n">
        <v>275</v>
      </c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8" t="n">
        <f aca="false">IF($O282=0,0,$O282*60*Cost!$D$16*Cost!$D$17*IFERROR(INDEX(Cost!$I$5:$I$11,MATCH($B282,Cost!$H$5:$H$11,0)),0)/Cost!$D$5)</f>
        <v>0</v>
      </c>
      <c r="O282" s="19" t="n">
        <f aca="false">IF($W282="",0,IF(INDEX('Flow Curves'!$A$5:$A$11,$X282)=INDEX('Flow Curves'!$A$5:$A$11,$W282),$Y282,$Y282+($Z282-$Y282)*(MAX(10,MIN(150,$C282))-INDEX('Flow Curves'!$A$5:$A$11,$W282))/(INDEX('Flow Curves'!$A$5:$A$11,$X282)-INDEX('Flow Curves'!$A$5:$A$11,$W282))))</f>
        <v>0</v>
      </c>
      <c r="P282" s="20" t="n">
        <f aca="false">IF(OR($B282="Air",$B282="Open Blow"),$O282*60*Cost!$D$16*Cost!$D$17/Cost!$D$5*Cost!$D$13,0)</f>
        <v>0</v>
      </c>
      <c r="Q282" s="17"/>
      <c r="U282" s="16" t="str">
        <f aca="false">IF($D282="","",IF(ISNA(MATCH($B282,Cost!$H$5:$H$11,0)),"CHECK GAS TYPE",IF(OR($C282&lt;10,$C282&gt;150),"CHECK PRESSURE: outside 10-150 psi table",IF(OR($D282&lt;1,$D282&gt;120),"CHECK dB: outside 1-120 table",IF(ISNA(MATCH($C282,'Flow Curves'!$A$5:$A$11,0)),"INTERPOLATED between curves","Table curve")))))</f>
        <v/>
      </c>
      <c r="W282" s="2" t="str">
        <f aca="false">IF(OR($D282="",$C282=""),"",MATCH(MAX(10,MIN(150,$C282)),'Flow Curves'!$A$5:$A$11,1))</f>
        <v/>
      </c>
      <c r="X282" s="2" t="str">
        <f aca="false">IF($W282="","",MIN($W282+1,7))</f>
        <v/>
      </c>
      <c r="Y282" s="2" t="str">
        <f aca="false">IF($W282="","",INDEX('Flow Curves'!$B$5:$B$11,$W282)*POWER($D282,INDEX('Flow Curves'!$C$5:$C$11,$W282)))</f>
        <v/>
      </c>
      <c r="Z282" s="2" t="str">
        <f aca="false">IF($W282="","",INDEX('Flow Curves'!$B$5:$B$11,$X282)*POWER($D282,INDEX('Flow Curves'!$C$5:$C$11,$X282)))</f>
        <v/>
      </c>
    </row>
    <row r="283" customFormat="false" ht="15" hidden="false" customHeight="false" outlineLevel="0" collapsed="false">
      <c r="A283" s="16" t="n">
        <v>276</v>
      </c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8" t="n">
        <f aca="false">IF($O283=0,0,$O283*60*Cost!$D$16*Cost!$D$17*IFERROR(INDEX(Cost!$I$5:$I$11,MATCH($B283,Cost!$H$5:$H$11,0)),0)/Cost!$D$5)</f>
        <v>0</v>
      </c>
      <c r="O283" s="19" t="n">
        <f aca="false">IF($W283="",0,IF(INDEX('Flow Curves'!$A$5:$A$11,$X283)=INDEX('Flow Curves'!$A$5:$A$11,$W283),$Y283,$Y283+($Z283-$Y283)*(MAX(10,MIN(150,$C283))-INDEX('Flow Curves'!$A$5:$A$11,$W283))/(INDEX('Flow Curves'!$A$5:$A$11,$X283)-INDEX('Flow Curves'!$A$5:$A$11,$W283))))</f>
        <v>0</v>
      </c>
      <c r="P283" s="20" t="n">
        <f aca="false">IF(OR($B283="Air",$B283="Open Blow"),$O283*60*Cost!$D$16*Cost!$D$17/Cost!$D$5*Cost!$D$13,0)</f>
        <v>0</v>
      </c>
      <c r="Q283" s="17"/>
      <c r="U283" s="16" t="str">
        <f aca="false">IF($D283="","",IF(ISNA(MATCH($B283,Cost!$H$5:$H$11,0)),"CHECK GAS TYPE",IF(OR($C283&lt;10,$C283&gt;150),"CHECK PRESSURE: outside 10-150 psi table",IF(OR($D283&lt;1,$D283&gt;120),"CHECK dB: outside 1-120 table",IF(ISNA(MATCH($C283,'Flow Curves'!$A$5:$A$11,0)),"INTERPOLATED between curves","Table curve")))))</f>
        <v/>
      </c>
      <c r="W283" s="2" t="str">
        <f aca="false">IF(OR($D283="",$C283=""),"",MATCH(MAX(10,MIN(150,$C283)),'Flow Curves'!$A$5:$A$11,1))</f>
        <v/>
      </c>
      <c r="X283" s="2" t="str">
        <f aca="false">IF($W283="","",MIN($W283+1,7))</f>
        <v/>
      </c>
      <c r="Y283" s="2" t="str">
        <f aca="false">IF($W283="","",INDEX('Flow Curves'!$B$5:$B$11,$W283)*POWER($D283,INDEX('Flow Curves'!$C$5:$C$11,$W283)))</f>
        <v/>
      </c>
      <c r="Z283" s="2" t="str">
        <f aca="false">IF($W283="","",INDEX('Flow Curves'!$B$5:$B$11,$X283)*POWER($D283,INDEX('Flow Curves'!$C$5:$C$11,$X283)))</f>
        <v/>
      </c>
    </row>
    <row r="284" customFormat="false" ht="15" hidden="false" customHeight="false" outlineLevel="0" collapsed="false">
      <c r="A284" s="16" t="n">
        <v>277</v>
      </c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8" t="n">
        <f aca="false">IF($O284=0,0,$O284*60*Cost!$D$16*Cost!$D$17*IFERROR(INDEX(Cost!$I$5:$I$11,MATCH($B284,Cost!$H$5:$H$11,0)),0)/Cost!$D$5)</f>
        <v>0</v>
      </c>
      <c r="O284" s="19" t="n">
        <f aca="false">IF($W284="",0,IF(INDEX('Flow Curves'!$A$5:$A$11,$X284)=INDEX('Flow Curves'!$A$5:$A$11,$W284),$Y284,$Y284+($Z284-$Y284)*(MAX(10,MIN(150,$C284))-INDEX('Flow Curves'!$A$5:$A$11,$W284))/(INDEX('Flow Curves'!$A$5:$A$11,$X284)-INDEX('Flow Curves'!$A$5:$A$11,$W284))))</f>
        <v>0</v>
      </c>
      <c r="P284" s="20" t="n">
        <f aca="false">IF(OR($B284="Air",$B284="Open Blow"),$O284*60*Cost!$D$16*Cost!$D$17/Cost!$D$5*Cost!$D$13,0)</f>
        <v>0</v>
      </c>
      <c r="Q284" s="17"/>
      <c r="U284" s="16" t="str">
        <f aca="false">IF($D284="","",IF(ISNA(MATCH($B284,Cost!$H$5:$H$11,0)),"CHECK GAS TYPE",IF(OR($C284&lt;10,$C284&gt;150),"CHECK PRESSURE: outside 10-150 psi table",IF(OR($D284&lt;1,$D284&gt;120),"CHECK dB: outside 1-120 table",IF(ISNA(MATCH($C284,'Flow Curves'!$A$5:$A$11,0)),"INTERPOLATED between curves","Table curve")))))</f>
        <v/>
      </c>
      <c r="W284" s="2" t="str">
        <f aca="false">IF(OR($D284="",$C284=""),"",MATCH(MAX(10,MIN(150,$C284)),'Flow Curves'!$A$5:$A$11,1))</f>
        <v/>
      </c>
      <c r="X284" s="2" t="str">
        <f aca="false">IF($W284="","",MIN($W284+1,7))</f>
        <v/>
      </c>
      <c r="Y284" s="2" t="str">
        <f aca="false">IF($W284="","",INDEX('Flow Curves'!$B$5:$B$11,$W284)*POWER($D284,INDEX('Flow Curves'!$C$5:$C$11,$W284)))</f>
        <v/>
      </c>
      <c r="Z284" s="2" t="str">
        <f aca="false">IF($W284="","",INDEX('Flow Curves'!$B$5:$B$11,$X284)*POWER($D284,INDEX('Flow Curves'!$C$5:$C$11,$X284)))</f>
        <v/>
      </c>
    </row>
    <row r="285" customFormat="false" ht="15" hidden="false" customHeight="false" outlineLevel="0" collapsed="false">
      <c r="A285" s="16" t="n">
        <v>278</v>
      </c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8" t="n">
        <f aca="false">IF($O285=0,0,$O285*60*Cost!$D$16*Cost!$D$17*IFERROR(INDEX(Cost!$I$5:$I$11,MATCH($B285,Cost!$H$5:$H$11,0)),0)/Cost!$D$5)</f>
        <v>0</v>
      </c>
      <c r="O285" s="19" t="n">
        <f aca="false">IF($W285="",0,IF(INDEX('Flow Curves'!$A$5:$A$11,$X285)=INDEX('Flow Curves'!$A$5:$A$11,$W285),$Y285,$Y285+($Z285-$Y285)*(MAX(10,MIN(150,$C285))-INDEX('Flow Curves'!$A$5:$A$11,$W285))/(INDEX('Flow Curves'!$A$5:$A$11,$X285)-INDEX('Flow Curves'!$A$5:$A$11,$W285))))</f>
        <v>0</v>
      </c>
      <c r="P285" s="20" t="n">
        <f aca="false">IF(OR($B285="Air",$B285="Open Blow"),$O285*60*Cost!$D$16*Cost!$D$17/Cost!$D$5*Cost!$D$13,0)</f>
        <v>0</v>
      </c>
      <c r="Q285" s="17"/>
      <c r="U285" s="16" t="str">
        <f aca="false">IF($D285="","",IF(ISNA(MATCH($B285,Cost!$H$5:$H$11,0)),"CHECK GAS TYPE",IF(OR($C285&lt;10,$C285&gt;150),"CHECK PRESSURE: outside 10-150 psi table",IF(OR($D285&lt;1,$D285&gt;120),"CHECK dB: outside 1-120 table",IF(ISNA(MATCH($C285,'Flow Curves'!$A$5:$A$11,0)),"INTERPOLATED between curves","Table curve")))))</f>
        <v/>
      </c>
      <c r="W285" s="2" t="str">
        <f aca="false">IF(OR($D285="",$C285=""),"",MATCH(MAX(10,MIN(150,$C285)),'Flow Curves'!$A$5:$A$11,1))</f>
        <v/>
      </c>
      <c r="X285" s="2" t="str">
        <f aca="false">IF($W285="","",MIN($W285+1,7))</f>
        <v/>
      </c>
      <c r="Y285" s="2" t="str">
        <f aca="false">IF($W285="","",INDEX('Flow Curves'!$B$5:$B$11,$W285)*POWER($D285,INDEX('Flow Curves'!$C$5:$C$11,$W285)))</f>
        <v/>
      </c>
      <c r="Z285" s="2" t="str">
        <f aca="false">IF($W285="","",INDEX('Flow Curves'!$B$5:$B$11,$X285)*POWER($D285,INDEX('Flow Curves'!$C$5:$C$11,$X285)))</f>
        <v/>
      </c>
    </row>
    <row r="286" customFormat="false" ht="15" hidden="false" customHeight="false" outlineLevel="0" collapsed="false">
      <c r="A286" s="16" t="n">
        <v>279</v>
      </c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8" t="n">
        <f aca="false">IF($O286=0,0,$O286*60*Cost!$D$16*Cost!$D$17*IFERROR(INDEX(Cost!$I$5:$I$11,MATCH($B286,Cost!$H$5:$H$11,0)),0)/Cost!$D$5)</f>
        <v>0</v>
      </c>
      <c r="O286" s="19" t="n">
        <f aca="false">IF($W286="",0,IF(INDEX('Flow Curves'!$A$5:$A$11,$X286)=INDEX('Flow Curves'!$A$5:$A$11,$W286),$Y286,$Y286+($Z286-$Y286)*(MAX(10,MIN(150,$C286))-INDEX('Flow Curves'!$A$5:$A$11,$W286))/(INDEX('Flow Curves'!$A$5:$A$11,$X286)-INDEX('Flow Curves'!$A$5:$A$11,$W286))))</f>
        <v>0</v>
      </c>
      <c r="P286" s="20" t="n">
        <f aca="false">IF(OR($B286="Air",$B286="Open Blow"),$O286*60*Cost!$D$16*Cost!$D$17/Cost!$D$5*Cost!$D$13,0)</f>
        <v>0</v>
      </c>
      <c r="Q286" s="17"/>
      <c r="U286" s="16" t="str">
        <f aca="false">IF($D286="","",IF(ISNA(MATCH($B286,Cost!$H$5:$H$11,0)),"CHECK GAS TYPE",IF(OR($C286&lt;10,$C286&gt;150),"CHECK PRESSURE: outside 10-150 psi table",IF(OR($D286&lt;1,$D286&gt;120),"CHECK dB: outside 1-120 table",IF(ISNA(MATCH($C286,'Flow Curves'!$A$5:$A$11,0)),"INTERPOLATED between curves","Table curve")))))</f>
        <v/>
      </c>
      <c r="W286" s="2" t="str">
        <f aca="false">IF(OR($D286="",$C286=""),"",MATCH(MAX(10,MIN(150,$C286)),'Flow Curves'!$A$5:$A$11,1))</f>
        <v/>
      </c>
      <c r="X286" s="2" t="str">
        <f aca="false">IF($W286="","",MIN($W286+1,7))</f>
        <v/>
      </c>
      <c r="Y286" s="2" t="str">
        <f aca="false">IF($W286="","",INDEX('Flow Curves'!$B$5:$B$11,$W286)*POWER($D286,INDEX('Flow Curves'!$C$5:$C$11,$W286)))</f>
        <v/>
      </c>
      <c r="Z286" s="2" t="str">
        <f aca="false">IF($W286="","",INDEX('Flow Curves'!$B$5:$B$11,$X286)*POWER($D286,INDEX('Flow Curves'!$C$5:$C$11,$X286)))</f>
        <v/>
      </c>
    </row>
    <row r="287" customFormat="false" ht="15" hidden="false" customHeight="false" outlineLevel="0" collapsed="false">
      <c r="A287" s="16" t="n">
        <v>280</v>
      </c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8" t="n">
        <f aca="false">IF($O287=0,0,$O287*60*Cost!$D$16*Cost!$D$17*IFERROR(INDEX(Cost!$I$5:$I$11,MATCH($B287,Cost!$H$5:$H$11,0)),0)/Cost!$D$5)</f>
        <v>0</v>
      </c>
      <c r="O287" s="19" t="n">
        <f aca="false">IF($W287="",0,IF(INDEX('Flow Curves'!$A$5:$A$11,$X287)=INDEX('Flow Curves'!$A$5:$A$11,$W287),$Y287,$Y287+($Z287-$Y287)*(MAX(10,MIN(150,$C287))-INDEX('Flow Curves'!$A$5:$A$11,$W287))/(INDEX('Flow Curves'!$A$5:$A$11,$X287)-INDEX('Flow Curves'!$A$5:$A$11,$W287))))</f>
        <v>0</v>
      </c>
      <c r="P287" s="20" t="n">
        <f aca="false">IF(OR($B287="Air",$B287="Open Blow"),$O287*60*Cost!$D$16*Cost!$D$17/Cost!$D$5*Cost!$D$13,0)</f>
        <v>0</v>
      </c>
      <c r="Q287" s="17"/>
      <c r="U287" s="16" t="str">
        <f aca="false">IF($D287="","",IF(ISNA(MATCH($B287,Cost!$H$5:$H$11,0)),"CHECK GAS TYPE",IF(OR($C287&lt;10,$C287&gt;150),"CHECK PRESSURE: outside 10-150 psi table",IF(OR($D287&lt;1,$D287&gt;120),"CHECK dB: outside 1-120 table",IF(ISNA(MATCH($C287,'Flow Curves'!$A$5:$A$11,0)),"INTERPOLATED between curves","Table curve")))))</f>
        <v/>
      </c>
      <c r="W287" s="2" t="str">
        <f aca="false">IF(OR($D287="",$C287=""),"",MATCH(MAX(10,MIN(150,$C287)),'Flow Curves'!$A$5:$A$11,1))</f>
        <v/>
      </c>
      <c r="X287" s="2" t="str">
        <f aca="false">IF($W287="","",MIN($W287+1,7))</f>
        <v/>
      </c>
      <c r="Y287" s="2" t="str">
        <f aca="false">IF($W287="","",INDEX('Flow Curves'!$B$5:$B$11,$W287)*POWER($D287,INDEX('Flow Curves'!$C$5:$C$11,$W287)))</f>
        <v/>
      </c>
      <c r="Z287" s="2" t="str">
        <f aca="false">IF($W287="","",INDEX('Flow Curves'!$B$5:$B$11,$X287)*POWER($D287,INDEX('Flow Curves'!$C$5:$C$11,$X287)))</f>
        <v/>
      </c>
    </row>
    <row r="288" customFormat="false" ht="15" hidden="false" customHeight="false" outlineLevel="0" collapsed="false">
      <c r="A288" s="16" t="n">
        <v>281</v>
      </c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8" t="n">
        <f aca="false">IF($O288=0,0,$O288*60*Cost!$D$16*Cost!$D$17*IFERROR(INDEX(Cost!$I$5:$I$11,MATCH($B288,Cost!$H$5:$H$11,0)),0)/Cost!$D$5)</f>
        <v>0</v>
      </c>
      <c r="O288" s="19" t="n">
        <f aca="false">IF($W288="",0,IF(INDEX('Flow Curves'!$A$5:$A$11,$X288)=INDEX('Flow Curves'!$A$5:$A$11,$W288),$Y288,$Y288+($Z288-$Y288)*(MAX(10,MIN(150,$C288))-INDEX('Flow Curves'!$A$5:$A$11,$W288))/(INDEX('Flow Curves'!$A$5:$A$11,$X288)-INDEX('Flow Curves'!$A$5:$A$11,$W288))))</f>
        <v>0</v>
      </c>
      <c r="P288" s="20" t="n">
        <f aca="false">IF(OR($B288="Air",$B288="Open Blow"),$O288*60*Cost!$D$16*Cost!$D$17/Cost!$D$5*Cost!$D$13,0)</f>
        <v>0</v>
      </c>
      <c r="Q288" s="17"/>
      <c r="U288" s="16" t="str">
        <f aca="false">IF($D288="","",IF(ISNA(MATCH($B288,Cost!$H$5:$H$11,0)),"CHECK GAS TYPE",IF(OR($C288&lt;10,$C288&gt;150),"CHECK PRESSURE: outside 10-150 psi table",IF(OR($D288&lt;1,$D288&gt;120),"CHECK dB: outside 1-120 table",IF(ISNA(MATCH($C288,'Flow Curves'!$A$5:$A$11,0)),"INTERPOLATED between curves","Table curve")))))</f>
        <v/>
      </c>
      <c r="W288" s="2" t="str">
        <f aca="false">IF(OR($D288="",$C288=""),"",MATCH(MAX(10,MIN(150,$C288)),'Flow Curves'!$A$5:$A$11,1))</f>
        <v/>
      </c>
      <c r="X288" s="2" t="str">
        <f aca="false">IF($W288="","",MIN($W288+1,7))</f>
        <v/>
      </c>
      <c r="Y288" s="2" t="str">
        <f aca="false">IF($W288="","",INDEX('Flow Curves'!$B$5:$B$11,$W288)*POWER($D288,INDEX('Flow Curves'!$C$5:$C$11,$W288)))</f>
        <v/>
      </c>
      <c r="Z288" s="2" t="str">
        <f aca="false">IF($W288="","",INDEX('Flow Curves'!$B$5:$B$11,$X288)*POWER($D288,INDEX('Flow Curves'!$C$5:$C$11,$X288)))</f>
        <v/>
      </c>
    </row>
    <row r="289" customFormat="false" ht="15" hidden="false" customHeight="false" outlineLevel="0" collapsed="false">
      <c r="A289" s="16" t="n">
        <v>282</v>
      </c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8" t="n">
        <f aca="false">IF($O289=0,0,$O289*60*Cost!$D$16*Cost!$D$17*IFERROR(INDEX(Cost!$I$5:$I$11,MATCH($B289,Cost!$H$5:$H$11,0)),0)/Cost!$D$5)</f>
        <v>0</v>
      </c>
      <c r="O289" s="19" t="n">
        <f aca="false">IF($W289="",0,IF(INDEX('Flow Curves'!$A$5:$A$11,$X289)=INDEX('Flow Curves'!$A$5:$A$11,$W289),$Y289,$Y289+($Z289-$Y289)*(MAX(10,MIN(150,$C289))-INDEX('Flow Curves'!$A$5:$A$11,$W289))/(INDEX('Flow Curves'!$A$5:$A$11,$X289)-INDEX('Flow Curves'!$A$5:$A$11,$W289))))</f>
        <v>0</v>
      </c>
      <c r="P289" s="20" t="n">
        <f aca="false">IF(OR($B289="Air",$B289="Open Blow"),$O289*60*Cost!$D$16*Cost!$D$17/Cost!$D$5*Cost!$D$13,0)</f>
        <v>0</v>
      </c>
      <c r="Q289" s="17"/>
      <c r="U289" s="16" t="str">
        <f aca="false">IF($D289="","",IF(ISNA(MATCH($B289,Cost!$H$5:$H$11,0)),"CHECK GAS TYPE",IF(OR($C289&lt;10,$C289&gt;150),"CHECK PRESSURE: outside 10-150 psi table",IF(OR($D289&lt;1,$D289&gt;120),"CHECK dB: outside 1-120 table",IF(ISNA(MATCH($C289,'Flow Curves'!$A$5:$A$11,0)),"INTERPOLATED between curves","Table curve")))))</f>
        <v/>
      </c>
      <c r="W289" s="2" t="str">
        <f aca="false">IF(OR($D289="",$C289=""),"",MATCH(MAX(10,MIN(150,$C289)),'Flow Curves'!$A$5:$A$11,1))</f>
        <v/>
      </c>
      <c r="X289" s="2" t="str">
        <f aca="false">IF($W289="","",MIN($W289+1,7))</f>
        <v/>
      </c>
      <c r="Y289" s="2" t="str">
        <f aca="false">IF($W289="","",INDEX('Flow Curves'!$B$5:$B$11,$W289)*POWER($D289,INDEX('Flow Curves'!$C$5:$C$11,$W289)))</f>
        <v/>
      </c>
      <c r="Z289" s="2" t="str">
        <f aca="false">IF($W289="","",INDEX('Flow Curves'!$B$5:$B$11,$X289)*POWER($D289,INDEX('Flow Curves'!$C$5:$C$11,$X289)))</f>
        <v/>
      </c>
    </row>
    <row r="290" customFormat="false" ht="15" hidden="false" customHeight="false" outlineLevel="0" collapsed="false">
      <c r="A290" s="16" t="n">
        <v>283</v>
      </c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8" t="n">
        <f aca="false">IF($O290=0,0,$O290*60*Cost!$D$16*Cost!$D$17*IFERROR(INDEX(Cost!$I$5:$I$11,MATCH($B290,Cost!$H$5:$H$11,0)),0)/Cost!$D$5)</f>
        <v>0</v>
      </c>
      <c r="O290" s="19" t="n">
        <f aca="false">IF($W290="",0,IF(INDEX('Flow Curves'!$A$5:$A$11,$X290)=INDEX('Flow Curves'!$A$5:$A$11,$W290),$Y290,$Y290+($Z290-$Y290)*(MAX(10,MIN(150,$C290))-INDEX('Flow Curves'!$A$5:$A$11,$W290))/(INDEX('Flow Curves'!$A$5:$A$11,$X290)-INDEX('Flow Curves'!$A$5:$A$11,$W290))))</f>
        <v>0</v>
      </c>
      <c r="P290" s="20" t="n">
        <f aca="false">IF(OR($B290="Air",$B290="Open Blow"),$O290*60*Cost!$D$16*Cost!$D$17/Cost!$D$5*Cost!$D$13,0)</f>
        <v>0</v>
      </c>
      <c r="Q290" s="17"/>
      <c r="U290" s="16" t="str">
        <f aca="false">IF($D290="","",IF(ISNA(MATCH($B290,Cost!$H$5:$H$11,0)),"CHECK GAS TYPE",IF(OR($C290&lt;10,$C290&gt;150),"CHECK PRESSURE: outside 10-150 psi table",IF(OR($D290&lt;1,$D290&gt;120),"CHECK dB: outside 1-120 table",IF(ISNA(MATCH($C290,'Flow Curves'!$A$5:$A$11,0)),"INTERPOLATED between curves","Table curve")))))</f>
        <v/>
      </c>
      <c r="W290" s="2" t="str">
        <f aca="false">IF(OR($D290="",$C290=""),"",MATCH(MAX(10,MIN(150,$C290)),'Flow Curves'!$A$5:$A$11,1))</f>
        <v/>
      </c>
      <c r="X290" s="2" t="str">
        <f aca="false">IF($W290="","",MIN($W290+1,7))</f>
        <v/>
      </c>
      <c r="Y290" s="2" t="str">
        <f aca="false">IF($W290="","",INDEX('Flow Curves'!$B$5:$B$11,$W290)*POWER($D290,INDEX('Flow Curves'!$C$5:$C$11,$W290)))</f>
        <v/>
      </c>
      <c r="Z290" s="2" t="str">
        <f aca="false">IF($W290="","",INDEX('Flow Curves'!$B$5:$B$11,$X290)*POWER($D290,INDEX('Flow Curves'!$C$5:$C$11,$X290)))</f>
        <v/>
      </c>
    </row>
    <row r="291" customFormat="false" ht="15" hidden="false" customHeight="false" outlineLevel="0" collapsed="false">
      <c r="A291" s="16" t="n">
        <v>284</v>
      </c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8" t="n">
        <f aca="false">IF($O291=0,0,$O291*60*Cost!$D$16*Cost!$D$17*IFERROR(INDEX(Cost!$I$5:$I$11,MATCH($B291,Cost!$H$5:$H$11,0)),0)/Cost!$D$5)</f>
        <v>0</v>
      </c>
      <c r="O291" s="19" t="n">
        <f aca="false">IF($W291="",0,IF(INDEX('Flow Curves'!$A$5:$A$11,$X291)=INDEX('Flow Curves'!$A$5:$A$11,$W291),$Y291,$Y291+($Z291-$Y291)*(MAX(10,MIN(150,$C291))-INDEX('Flow Curves'!$A$5:$A$11,$W291))/(INDEX('Flow Curves'!$A$5:$A$11,$X291)-INDEX('Flow Curves'!$A$5:$A$11,$W291))))</f>
        <v>0</v>
      </c>
      <c r="P291" s="20" t="n">
        <f aca="false">IF(OR($B291="Air",$B291="Open Blow"),$O291*60*Cost!$D$16*Cost!$D$17/Cost!$D$5*Cost!$D$13,0)</f>
        <v>0</v>
      </c>
      <c r="Q291" s="17"/>
      <c r="U291" s="16" t="str">
        <f aca="false">IF($D291="","",IF(ISNA(MATCH($B291,Cost!$H$5:$H$11,0)),"CHECK GAS TYPE",IF(OR($C291&lt;10,$C291&gt;150),"CHECK PRESSURE: outside 10-150 psi table",IF(OR($D291&lt;1,$D291&gt;120),"CHECK dB: outside 1-120 table",IF(ISNA(MATCH($C291,'Flow Curves'!$A$5:$A$11,0)),"INTERPOLATED between curves","Table curve")))))</f>
        <v/>
      </c>
      <c r="W291" s="2" t="str">
        <f aca="false">IF(OR($D291="",$C291=""),"",MATCH(MAX(10,MIN(150,$C291)),'Flow Curves'!$A$5:$A$11,1))</f>
        <v/>
      </c>
      <c r="X291" s="2" t="str">
        <f aca="false">IF($W291="","",MIN($W291+1,7))</f>
        <v/>
      </c>
      <c r="Y291" s="2" t="str">
        <f aca="false">IF($W291="","",INDEX('Flow Curves'!$B$5:$B$11,$W291)*POWER($D291,INDEX('Flow Curves'!$C$5:$C$11,$W291)))</f>
        <v/>
      </c>
      <c r="Z291" s="2" t="str">
        <f aca="false">IF($W291="","",INDEX('Flow Curves'!$B$5:$B$11,$X291)*POWER($D291,INDEX('Flow Curves'!$C$5:$C$11,$X291)))</f>
        <v/>
      </c>
    </row>
    <row r="292" customFormat="false" ht="15" hidden="false" customHeight="false" outlineLevel="0" collapsed="false">
      <c r="A292" s="16" t="n">
        <v>285</v>
      </c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8" t="n">
        <f aca="false">IF($O292=0,0,$O292*60*Cost!$D$16*Cost!$D$17*IFERROR(INDEX(Cost!$I$5:$I$11,MATCH($B292,Cost!$H$5:$H$11,0)),0)/Cost!$D$5)</f>
        <v>0</v>
      </c>
      <c r="O292" s="19" t="n">
        <f aca="false">IF($W292="",0,IF(INDEX('Flow Curves'!$A$5:$A$11,$X292)=INDEX('Flow Curves'!$A$5:$A$11,$W292),$Y292,$Y292+($Z292-$Y292)*(MAX(10,MIN(150,$C292))-INDEX('Flow Curves'!$A$5:$A$11,$W292))/(INDEX('Flow Curves'!$A$5:$A$11,$X292)-INDEX('Flow Curves'!$A$5:$A$11,$W292))))</f>
        <v>0</v>
      </c>
      <c r="P292" s="20" t="n">
        <f aca="false">IF(OR($B292="Air",$B292="Open Blow"),$O292*60*Cost!$D$16*Cost!$D$17/Cost!$D$5*Cost!$D$13,0)</f>
        <v>0</v>
      </c>
      <c r="Q292" s="17"/>
      <c r="U292" s="16" t="str">
        <f aca="false">IF($D292="","",IF(ISNA(MATCH($B292,Cost!$H$5:$H$11,0)),"CHECK GAS TYPE",IF(OR($C292&lt;10,$C292&gt;150),"CHECK PRESSURE: outside 10-150 psi table",IF(OR($D292&lt;1,$D292&gt;120),"CHECK dB: outside 1-120 table",IF(ISNA(MATCH($C292,'Flow Curves'!$A$5:$A$11,0)),"INTERPOLATED between curves","Table curve")))))</f>
        <v/>
      </c>
      <c r="W292" s="2" t="str">
        <f aca="false">IF(OR($D292="",$C292=""),"",MATCH(MAX(10,MIN(150,$C292)),'Flow Curves'!$A$5:$A$11,1))</f>
        <v/>
      </c>
      <c r="X292" s="2" t="str">
        <f aca="false">IF($W292="","",MIN($W292+1,7))</f>
        <v/>
      </c>
      <c r="Y292" s="2" t="str">
        <f aca="false">IF($W292="","",INDEX('Flow Curves'!$B$5:$B$11,$W292)*POWER($D292,INDEX('Flow Curves'!$C$5:$C$11,$W292)))</f>
        <v/>
      </c>
      <c r="Z292" s="2" t="str">
        <f aca="false">IF($W292="","",INDEX('Flow Curves'!$B$5:$B$11,$X292)*POWER($D292,INDEX('Flow Curves'!$C$5:$C$11,$X292)))</f>
        <v/>
      </c>
    </row>
    <row r="293" customFormat="false" ht="15" hidden="false" customHeight="false" outlineLevel="0" collapsed="false">
      <c r="A293" s="16" t="n">
        <v>286</v>
      </c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8" t="n">
        <f aca="false">IF($O293=0,0,$O293*60*Cost!$D$16*Cost!$D$17*IFERROR(INDEX(Cost!$I$5:$I$11,MATCH($B293,Cost!$H$5:$H$11,0)),0)/Cost!$D$5)</f>
        <v>0</v>
      </c>
      <c r="O293" s="19" t="n">
        <f aca="false">IF($W293="",0,IF(INDEX('Flow Curves'!$A$5:$A$11,$X293)=INDEX('Flow Curves'!$A$5:$A$11,$W293),$Y293,$Y293+($Z293-$Y293)*(MAX(10,MIN(150,$C293))-INDEX('Flow Curves'!$A$5:$A$11,$W293))/(INDEX('Flow Curves'!$A$5:$A$11,$X293)-INDEX('Flow Curves'!$A$5:$A$11,$W293))))</f>
        <v>0</v>
      </c>
      <c r="P293" s="20" t="n">
        <f aca="false">IF(OR($B293="Air",$B293="Open Blow"),$O293*60*Cost!$D$16*Cost!$D$17/Cost!$D$5*Cost!$D$13,0)</f>
        <v>0</v>
      </c>
      <c r="Q293" s="17"/>
      <c r="U293" s="16" t="str">
        <f aca="false">IF($D293="","",IF(ISNA(MATCH($B293,Cost!$H$5:$H$11,0)),"CHECK GAS TYPE",IF(OR($C293&lt;10,$C293&gt;150),"CHECK PRESSURE: outside 10-150 psi table",IF(OR($D293&lt;1,$D293&gt;120),"CHECK dB: outside 1-120 table",IF(ISNA(MATCH($C293,'Flow Curves'!$A$5:$A$11,0)),"INTERPOLATED between curves","Table curve")))))</f>
        <v/>
      </c>
      <c r="W293" s="2" t="str">
        <f aca="false">IF(OR($D293="",$C293=""),"",MATCH(MAX(10,MIN(150,$C293)),'Flow Curves'!$A$5:$A$11,1))</f>
        <v/>
      </c>
      <c r="X293" s="2" t="str">
        <f aca="false">IF($W293="","",MIN($W293+1,7))</f>
        <v/>
      </c>
      <c r="Y293" s="2" t="str">
        <f aca="false">IF($W293="","",INDEX('Flow Curves'!$B$5:$B$11,$W293)*POWER($D293,INDEX('Flow Curves'!$C$5:$C$11,$W293)))</f>
        <v/>
      </c>
      <c r="Z293" s="2" t="str">
        <f aca="false">IF($W293="","",INDEX('Flow Curves'!$B$5:$B$11,$X293)*POWER($D293,INDEX('Flow Curves'!$C$5:$C$11,$X293)))</f>
        <v/>
      </c>
    </row>
    <row r="294" customFormat="false" ht="15" hidden="false" customHeight="false" outlineLevel="0" collapsed="false">
      <c r="A294" s="16" t="n">
        <v>287</v>
      </c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8" t="n">
        <f aca="false">IF($O294=0,0,$O294*60*Cost!$D$16*Cost!$D$17*IFERROR(INDEX(Cost!$I$5:$I$11,MATCH($B294,Cost!$H$5:$H$11,0)),0)/Cost!$D$5)</f>
        <v>0</v>
      </c>
      <c r="O294" s="19" t="n">
        <f aca="false">IF($W294="",0,IF(INDEX('Flow Curves'!$A$5:$A$11,$X294)=INDEX('Flow Curves'!$A$5:$A$11,$W294),$Y294,$Y294+($Z294-$Y294)*(MAX(10,MIN(150,$C294))-INDEX('Flow Curves'!$A$5:$A$11,$W294))/(INDEX('Flow Curves'!$A$5:$A$11,$X294)-INDEX('Flow Curves'!$A$5:$A$11,$W294))))</f>
        <v>0</v>
      </c>
      <c r="P294" s="20" t="n">
        <f aca="false">IF(OR($B294="Air",$B294="Open Blow"),$O294*60*Cost!$D$16*Cost!$D$17/Cost!$D$5*Cost!$D$13,0)</f>
        <v>0</v>
      </c>
      <c r="Q294" s="17"/>
      <c r="U294" s="16" t="str">
        <f aca="false">IF($D294="","",IF(ISNA(MATCH($B294,Cost!$H$5:$H$11,0)),"CHECK GAS TYPE",IF(OR($C294&lt;10,$C294&gt;150),"CHECK PRESSURE: outside 10-150 psi table",IF(OR($D294&lt;1,$D294&gt;120),"CHECK dB: outside 1-120 table",IF(ISNA(MATCH($C294,'Flow Curves'!$A$5:$A$11,0)),"INTERPOLATED between curves","Table curve")))))</f>
        <v/>
      </c>
      <c r="W294" s="2" t="str">
        <f aca="false">IF(OR($D294="",$C294=""),"",MATCH(MAX(10,MIN(150,$C294)),'Flow Curves'!$A$5:$A$11,1))</f>
        <v/>
      </c>
      <c r="X294" s="2" t="str">
        <f aca="false">IF($W294="","",MIN($W294+1,7))</f>
        <v/>
      </c>
      <c r="Y294" s="2" t="str">
        <f aca="false">IF($W294="","",INDEX('Flow Curves'!$B$5:$B$11,$W294)*POWER($D294,INDEX('Flow Curves'!$C$5:$C$11,$W294)))</f>
        <v/>
      </c>
      <c r="Z294" s="2" t="str">
        <f aca="false">IF($W294="","",INDEX('Flow Curves'!$B$5:$B$11,$X294)*POWER($D294,INDEX('Flow Curves'!$C$5:$C$11,$X294)))</f>
        <v/>
      </c>
    </row>
    <row r="295" customFormat="false" ht="15" hidden="false" customHeight="false" outlineLevel="0" collapsed="false">
      <c r="A295" s="16" t="n">
        <v>288</v>
      </c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8" t="n">
        <f aca="false">IF($O295=0,0,$O295*60*Cost!$D$16*Cost!$D$17*IFERROR(INDEX(Cost!$I$5:$I$11,MATCH($B295,Cost!$H$5:$H$11,0)),0)/Cost!$D$5)</f>
        <v>0</v>
      </c>
      <c r="O295" s="19" t="n">
        <f aca="false">IF($W295="",0,IF(INDEX('Flow Curves'!$A$5:$A$11,$X295)=INDEX('Flow Curves'!$A$5:$A$11,$W295),$Y295,$Y295+($Z295-$Y295)*(MAX(10,MIN(150,$C295))-INDEX('Flow Curves'!$A$5:$A$11,$W295))/(INDEX('Flow Curves'!$A$5:$A$11,$X295)-INDEX('Flow Curves'!$A$5:$A$11,$W295))))</f>
        <v>0</v>
      </c>
      <c r="P295" s="20" t="n">
        <f aca="false">IF(OR($B295="Air",$B295="Open Blow"),$O295*60*Cost!$D$16*Cost!$D$17/Cost!$D$5*Cost!$D$13,0)</f>
        <v>0</v>
      </c>
      <c r="Q295" s="17"/>
      <c r="U295" s="16" t="str">
        <f aca="false">IF($D295="","",IF(ISNA(MATCH($B295,Cost!$H$5:$H$11,0)),"CHECK GAS TYPE",IF(OR($C295&lt;10,$C295&gt;150),"CHECK PRESSURE: outside 10-150 psi table",IF(OR($D295&lt;1,$D295&gt;120),"CHECK dB: outside 1-120 table",IF(ISNA(MATCH($C295,'Flow Curves'!$A$5:$A$11,0)),"INTERPOLATED between curves","Table curve")))))</f>
        <v/>
      </c>
      <c r="W295" s="2" t="str">
        <f aca="false">IF(OR($D295="",$C295=""),"",MATCH(MAX(10,MIN(150,$C295)),'Flow Curves'!$A$5:$A$11,1))</f>
        <v/>
      </c>
      <c r="X295" s="2" t="str">
        <f aca="false">IF($W295="","",MIN($W295+1,7))</f>
        <v/>
      </c>
      <c r="Y295" s="2" t="str">
        <f aca="false">IF($W295="","",INDEX('Flow Curves'!$B$5:$B$11,$W295)*POWER($D295,INDEX('Flow Curves'!$C$5:$C$11,$W295)))</f>
        <v/>
      </c>
      <c r="Z295" s="2" t="str">
        <f aca="false">IF($W295="","",INDEX('Flow Curves'!$B$5:$B$11,$X295)*POWER($D295,INDEX('Flow Curves'!$C$5:$C$11,$X295)))</f>
        <v/>
      </c>
    </row>
    <row r="296" customFormat="false" ht="15" hidden="false" customHeight="false" outlineLevel="0" collapsed="false">
      <c r="A296" s="16" t="n">
        <v>289</v>
      </c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8" t="n">
        <f aca="false">IF($O296=0,0,$O296*60*Cost!$D$16*Cost!$D$17*IFERROR(INDEX(Cost!$I$5:$I$11,MATCH($B296,Cost!$H$5:$H$11,0)),0)/Cost!$D$5)</f>
        <v>0</v>
      </c>
      <c r="O296" s="19" t="n">
        <f aca="false">IF($W296="",0,IF(INDEX('Flow Curves'!$A$5:$A$11,$X296)=INDEX('Flow Curves'!$A$5:$A$11,$W296),$Y296,$Y296+($Z296-$Y296)*(MAX(10,MIN(150,$C296))-INDEX('Flow Curves'!$A$5:$A$11,$W296))/(INDEX('Flow Curves'!$A$5:$A$11,$X296)-INDEX('Flow Curves'!$A$5:$A$11,$W296))))</f>
        <v>0</v>
      </c>
      <c r="P296" s="20" t="n">
        <f aca="false">IF(OR($B296="Air",$B296="Open Blow"),$O296*60*Cost!$D$16*Cost!$D$17/Cost!$D$5*Cost!$D$13,0)</f>
        <v>0</v>
      </c>
      <c r="Q296" s="17"/>
      <c r="U296" s="16" t="str">
        <f aca="false">IF($D296="","",IF(ISNA(MATCH($B296,Cost!$H$5:$H$11,0)),"CHECK GAS TYPE",IF(OR($C296&lt;10,$C296&gt;150),"CHECK PRESSURE: outside 10-150 psi table",IF(OR($D296&lt;1,$D296&gt;120),"CHECK dB: outside 1-120 table",IF(ISNA(MATCH($C296,'Flow Curves'!$A$5:$A$11,0)),"INTERPOLATED between curves","Table curve")))))</f>
        <v/>
      </c>
      <c r="W296" s="2" t="str">
        <f aca="false">IF(OR($D296="",$C296=""),"",MATCH(MAX(10,MIN(150,$C296)),'Flow Curves'!$A$5:$A$11,1))</f>
        <v/>
      </c>
      <c r="X296" s="2" t="str">
        <f aca="false">IF($W296="","",MIN($W296+1,7))</f>
        <v/>
      </c>
      <c r="Y296" s="2" t="str">
        <f aca="false">IF($W296="","",INDEX('Flow Curves'!$B$5:$B$11,$W296)*POWER($D296,INDEX('Flow Curves'!$C$5:$C$11,$W296)))</f>
        <v/>
      </c>
      <c r="Z296" s="2" t="str">
        <f aca="false">IF($W296="","",INDEX('Flow Curves'!$B$5:$B$11,$X296)*POWER($D296,INDEX('Flow Curves'!$C$5:$C$11,$X296)))</f>
        <v/>
      </c>
    </row>
    <row r="297" customFormat="false" ht="15" hidden="false" customHeight="false" outlineLevel="0" collapsed="false">
      <c r="A297" s="16" t="n">
        <v>290</v>
      </c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8" t="n">
        <f aca="false">IF($O297=0,0,$O297*60*Cost!$D$16*Cost!$D$17*IFERROR(INDEX(Cost!$I$5:$I$11,MATCH($B297,Cost!$H$5:$H$11,0)),0)/Cost!$D$5)</f>
        <v>0</v>
      </c>
      <c r="O297" s="19" t="n">
        <f aca="false">IF($W297="",0,IF(INDEX('Flow Curves'!$A$5:$A$11,$X297)=INDEX('Flow Curves'!$A$5:$A$11,$W297),$Y297,$Y297+($Z297-$Y297)*(MAX(10,MIN(150,$C297))-INDEX('Flow Curves'!$A$5:$A$11,$W297))/(INDEX('Flow Curves'!$A$5:$A$11,$X297)-INDEX('Flow Curves'!$A$5:$A$11,$W297))))</f>
        <v>0</v>
      </c>
      <c r="P297" s="20" t="n">
        <f aca="false">IF(OR($B297="Air",$B297="Open Blow"),$O297*60*Cost!$D$16*Cost!$D$17/Cost!$D$5*Cost!$D$13,0)</f>
        <v>0</v>
      </c>
      <c r="Q297" s="17"/>
      <c r="U297" s="16" t="str">
        <f aca="false">IF($D297="","",IF(ISNA(MATCH($B297,Cost!$H$5:$H$11,0)),"CHECK GAS TYPE",IF(OR($C297&lt;10,$C297&gt;150),"CHECK PRESSURE: outside 10-150 psi table",IF(OR($D297&lt;1,$D297&gt;120),"CHECK dB: outside 1-120 table",IF(ISNA(MATCH($C297,'Flow Curves'!$A$5:$A$11,0)),"INTERPOLATED between curves","Table curve")))))</f>
        <v/>
      </c>
      <c r="W297" s="2" t="str">
        <f aca="false">IF(OR($D297="",$C297=""),"",MATCH(MAX(10,MIN(150,$C297)),'Flow Curves'!$A$5:$A$11,1))</f>
        <v/>
      </c>
      <c r="X297" s="2" t="str">
        <f aca="false">IF($W297="","",MIN($W297+1,7))</f>
        <v/>
      </c>
      <c r="Y297" s="2" t="str">
        <f aca="false">IF($W297="","",INDEX('Flow Curves'!$B$5:$B$11,$W297)*POWER($D297,INDEX('Flow Curves'!$C$5:$C$11,$W297)))</f>
        <v/>
      </c>
      <c r="Z297" s="2" t="str">
        <f aca="false">IF($W297="","",INDEX('Flow Curves'!$B$5:$B$11,$X297)*POWER($D297,INDEX('Flow Curves'!$C$5:$C$11,$X297)))</f>
        <v/>
      </c>
    </row>
    <row r="298" customFormat="false" ht="15" hidden="false" customHeight="false" outlineLevel="0" collapsed="false">
      <c r="A298" s="16" t="n">
        <v>291</v>
      </c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8" t="n">
        <f aca="false">IF($O298=0,0,$O298*60*Cost!$D$16*Cost!$D$17*IFERROR(INDEX(Cost!$I$5:$I$11,MATCH($B298,Cost!$H$5:$H$11,0)),0)/Cost!$D$5)</f>
        <v>0</v>
      </c>
      <c r="O298" s="19" t="n">
        <f aca="false">IF($W298="",0,IF(INDEX('Flow Curves'!$A$5:$A$11,$X298)=INDEX('Flow Curves'!$A$5:$A$11,$W298),$Y298,$Y298+($Z298-$Y298)*(MAX(10,MIN(150,$C298))-INDEX('Flow Curves'!$A$5:$A$11,$W298))/(INDEX('Flow Curves'!$A$5:$A$11,$X298)-INDEX('Flow Curves'!$A$5:$A$11,$W298))))</f>
        <v>0</v>
      </c>
      <c r="P298" s="20" t="n">
        <f aca="false">IF(OR($B298="Air",$B298="Open Blow"),$O298*60*Cost!$D$16*Cost!$D$17/Cost!$D$5*Cost!$D$13,0)</f>
        <v>0</v>
      </c>
      <c r="Q298" s="17"/>
      <c r="U298" s="16" t="str">
        <f aca="false">IF($D298="","",IF(ISNA(MATCH($B298,Cost!$H$5:$H$11,0)),"CHECK GAS TYPE",IF(OR($C298&lt;10,$C298&gt;150),"CHECK PRESSURE: outside 10-150 psi table",IF(OR($D298&lt;1,$D298&gt;120),"CHECK dB: outside 1-120 table",IF(ISNA(MATCH($C298,'Flow Curves'!$A$5:$A$11,0)),"INTERPOLATED between curves","Table curve")))))</f>
        <v/>
      </c>
      <c r="W298" s="2" t="str">
        <f aca="false">IF(OR($D298="",$C298=""),"",MATCH(MAX(10,MIN(150,$C298)),'Flow Curves'!$A$5:$A$11,1))</f>
        <v/>
      </c>
      <c r="X298" s="2" t="str">
        <f aca="false">IF($W298="","",MIN($W298+1,7))</f>
        <v/>
      </c>
      <c r="Y298" s="2" t="str">
        <f aca="false">IF($W298="","",INDEX('Flow Curves'!$B$5:$B$11,$W298)*POWER($D298,INDEX('Flow Curves'!$C$5:$C$11,$W298)))</f>
        <v/>
      </c>
      <c r="Z298" s="2" t="str">
        <f aca="false">IF($W298="","",INDEX('Flow Curves'!$B$5:$B$11,$X298)*POWER($D298,INDEX('Flow Curves'!$C$5:$C$11,$X298)))</f>
        <v/>
      </c>
    </row>
    <row r="299" customFormat="false" ht="15" hidden="false" customHeight="false" outlineLevel="0" collapsed="false">
      <c r="A299" s="16" t="n">
        <v>292</v>
      </c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8" t="n">
        <f aca="false">IF($O299=0,0,$O299*60*Cost!$D$16*Cost!$D$17*IFERROR(INDEX(Cost!$I$5:$I$11,MATCH($B299,Cost!$H$5:$H$11,0)),0)/Cost!$D$5)</f>
        <v>0</v>
      </c>
      <c r="O299" s="19" t="n">
        <f aca="false">IF($W299="",0,IF(INDEX('Flow Curves'!$A$5:$A$11,$X299)=INDEX('Flow Curves'!$A$5:$A$11,$W299),$Y299,$Y299+($Z299-$Y299)*(MAX(10,MIN(150,$C299))-INDEX('Flow Curves'!$A$5:$A$11,$W299))/(INDEX('Flow Curves'!$A$5:$A$11,$X299)-INDEX('Flow Curves'!$A$5:$A$11,$W299))))</f>
        <v>0</v>
      </c>
      <c r="P299" s="20" t="n">
        <f aca="false">IF(OR($B299="Air",$B299="Open Blow"),$O299*60*Cost!$D$16*Cost!$D$17/Cost!$D$5*Cost!$D$13,0)</f>
        <v>0</v>
      </c>
      <c r="Q299" s="17"/>
      <c r="U299" s="16" t="str">
        <f aca="false">IF($D299="","",IF(ISNA(MATCH($B299,Cost!$H$5:$H$11,0)),"CHECK GAS TYPE",IF(OR($C299&lt;10,$C299&gt;150),"CHECK PRESSURE: outside 10-150 psi table",IF(OR($D299&lt;1,$D299&gt;120),"CHECK dB: outside 1-120 table",IF(ISNA(MATCH($C299,'Flow Curves'!$A$5:$A$11,0)),"INTERPOLATED between curves","Table curve")))))</f>
        <v/>
      </c>
      <c r="W299" s="2" t="str">
        <f aca="false">IF(OR($D299="",$C299=""),"",MATCH(MAX(10,MIN(150,$C299)),'Flow Curves'!$A$5:$A$11,1))</f>
        <v/>
      </c>
      <c r="X299" s="2" t="str">
        <f aca="false">IF($W299="","",MIN($W299+1,7))</f>
        <v/>
      </c>
      <c r="Y299" s="2" t="str">
        <f aca="false">IF($W299="","",INDEX('Flow Curves'!$B$5:$B$11,$W299)*POWER($D299,INDEX('Flow Curves'!$C$5:$C$11,$W299)))</f>
        <v/>
      </c>
      <c r="Z299" s="2" t="str">
        <f aca="false">IF($W299="","",INDEX('Flow Curves'!$B$5:$B$11,$X299)*POWER($D299,INDEX('Flow Curves'!$C$5:$C$11,$X299)))</f>
        <v/>
      </c>
    </row>
    <row r="300" customFormat="false" ht="15" hidden="false" customHeight="false" outlineLevel="0" collapsed="false">
      <c r="A300" s="16" t="n">
        <v>293</v>
      </c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8" t="n">
        <f aca="false">IF($O300=0,0,$O300*60*Cost!$D$16*Cost!$D$17*IFERROR(INDEX(Cost!$I$5:$I$11,MATCH($B300,Cost!$H$5:$H$11,0)),0)/Cost!$D$5)</f>
        <v>0</v>
      </c>
      <c r="O300" s="19" t="n">
        <f aca="false">IF($W300="",0,IF(INDEX('Flow Curves'!$A$5:$A$11,$X300)=INDEX('Flow Curves'!$A$5:$A$11,$W300),$Y300,$Y300+($Z300-$Y300)*(MAX(10,MIN(150,$C300))-INDEX('Flow Curves'!$A$5:$A$11,$W300))/(INDEX('Flow Curves'!$A$5:$A$11,$X300)-INDEX('Flow Curves'!$A$5:$A$11,$W300))))</f>
        <v>0</v>
      </c>
      <c r="P300" s="20" t="n">
        <f aca="false">IF(OR($B300="Air",$B300="Open Blow"),$O300*60*Cost!$D$16*Cost!$D$17/Cost!$D$5*Cost!$D$13,0)</f>
        <v>0</v>
      </c>
      <c r="Q300" s="17"/>
      <c r="U300" s="16" t="str">
        <f aca="false">IF($D300="","",IF(ISNA(MATCH($B300,Cost!$H$5:$H$11,0)),"CHECK GAS TYPE",IF(OR($C300&lt;10,$C300&gt;150),"CHECK PRESSURE: outside 10-150 psi table",IF(OR($D300&lt;1,$D300&gt;120),"CHECK dB: outside 1-120 table",IF(ISNA(MATCH($C300,'Flow Curves'!$A$5:$A$11,0)),"INTERPOLATED between curves","Table curve")))))</f>
        <v/>
      </c>
      <c r="W300" s="2" t="str">
        <f aca="false">IF(OR($D300="",$C300=""),"",MATCH(MAX(10,MIN(150,$C300)),'Flow Curves'!$A$5:$A$11,1))</f>
        <v/>
      </c>
      <c r="X300" s="2" t="str">
        <f aca="false">IF($W300="","",MIN($W300+1,7))</f>
        <v/>
      </c>
      <c r="Y300" s="2" t="str">
        <f aca="false">IF($W300="","",INDEX('Flow Curves'!$B$5:$B$11,$W300)*POWER($D300,INDEX('Flow Curves'!$C$5:$C$11,$W300)))</f>
        <v/>
      </c>
      <c r="Z300" s="2" t="str">
        <f aca="false">IF($W300="","",INDEX('Flow Curves'!$B$5:$B$11,$X300)*POWER($D300,INDEX('Flow Curves'!$C$5:$C$11,$X300)))</f>
        <v/>
      </c>
    </row>
    <row r="301" customFormat="false" ht="15" hidden="false" customHeight="false" outlineLevel="0" collapsed="false">
      <c r="A301" s="16" t="n">
        <v>294</v>
      </c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8" t="n">
        <f aca="false">IF($O301=0,0,$O301*60*Cost!$D$16*Cost!$D$17*IFERROR(INDEX(Cost!$I$5:$I$11,MATCH($B301,Cost!$H$5:$H$11,0)),0)/Cost!$D$5)</f>
        <v>0</v>
      </c>
      <c r="O301" s="19" t="n">
        <f aca="false">IF($W301="",0,IF(INDEX('Flow Curves'!$A$5:$A$11,$X301)=INDEX('Flow Curves'!$A$5:$A$11,$W301),$Y301,$Y301+($Z301-$Y301)*(MAX(10,MIN(150,$C301))-INDEX('Flow Curves'!$A$5:$A$11,$W301))/(INDEX('Flow Curves'!$A$5:$A$11,$X301)-INDEX('Flow Curves'!$A$5:$A$11,$W301))))</f>
        <v>0</v>
      </c>
      <c r="P301" s="20" t="n">
        <f aca="false">IF(OR($B301="Air",$B301="Open Blow"),$O301*60*Cost!$D$16*Cost!$D$17/Cost!$D$5*Cost!$D$13,0)</f>
        <v>0</v>
      </c>
      <c r="Q301" s="17"/>
      <c r="U301" s="16" t="str">
        <f aca="false">IF($D301="","",IF(ISNA(MATCH($B301,Cost!$H$5:$H$11,0)),"CHECK GAS TYPE",IF(OR($C301&lt;10,$C301&gt;150),"CHECK PRESSURE: outside 10-150 psi table",IF(OR($D301&lt;1,$D301&gt;120),"CHECK dB: outside 1-120 table",IF(ISNA(MATCH($C301,'Flow Curves'!$A$5:$A$11,0)),"INTERPOLATED between curves","Table curve")))))</f>
        <v/>
      </c>
      <c r="W301" s="2" t="str">
        <f aca="false">IF(OR($D301="",$C301=""),"",MATCH(MAX(10,MIN(150,$C301)),'Flow Curves'!$A$5:$A$11,1))</f>
        <v/>
      </c>
      <c r="X301" s="2" t="str">
        <f aca="false">IF($W301="","",MIN($W301+1,7))</f>
        <v/>
      </c>
      <c r="Y301" s="2" t="str">
        <f aca="false">IF($W301="","",INDEX('Flow Curves'!$B$5:$B$11,$W301)*POWER($D301,INDEX('Flow Curves'!$C$5:$C$11,$W301)))</f>
        <v/>
      </c>
      <c r="Z301" s="2" t="str">
        <f aca="false">IF($W301="","",INDEX('Flow Curves'!$B$5:$B$11,$X301)*POWER($D301,INDEX('Flow Curves'!$C$5:$C$11,$X301)))</f>
        <v/>
      </c>
    </row>
    <row r="302" customFormat="false" ht="15" hidden="false" customHeight="false" outlineLevel="0" collapsed="false">
      <c r="A302" s="16" t="n">
        <v>295</v>
      </c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8" t="n">
        <f aca="false">IF($O302=0,0,$O302*60*Cost!$D$16*Cost!$D$17*IFERROR(INDEX(Cost!$I$5:$I$11,MATCH($B302,Cost!$H$5:$H$11,0)),0)/Cost!$D$5)</f>
        <v>0</v>
      </c>
      <c r="O302" s="19" t="n">
        <f aca="false">IF($W302="",0,IF(INDEX('Flow Curves'!$A$5:$A$11,$X302)=INDEX('Flow Curves'!$A$5:$A$11,$W302),$Y302,$Y302+($Z302-$Y302)*(MAX(10,MIN(150,$C302))-INDEX('Flow Curves'!$A$5:$A$11,$W302))/(INDEX('Flow Curves'!$A$5:$A$11,$X302)-INDEX('Flow Curves'!$A$5:$A$11,$W302))))</f>
        <v>0</v>
      </c>
      <c r="P302" s="20" t="n">
        <f aca="false">IF(OR($B302="Air",$B302="Open Blow"),$O302*60*Cost!$D$16*Cost!$D$17/Cost!$D$5*Cost!$D$13,0)</f>
        <v>0</v>
      </c>
      <c r="Q302" s="17"/>
      <c r="U302" s="16" t="str">
        <f aca="false">IF($D302="","",IF(ISNA(MATCH($B302,Cost!$H$5:$H$11,0)),"CHECK GAS TYPE",IF(OR($C302&lt;10,$C302&gt;150),"CHECK PRESSURE: outside 10-150 psi table",IF(OR($D302&lt;1,$D302&gt;120),"CHECK dB: outside 1-120 table",IF(ISNA(MATCH($C302,'Flow Curves'!$A$5:$A$11,0)),"INTERPOLATED between curves","Table curve")))))</f>
        <v/>
      </c>
      <c r="W302" s="2" t="str">
        <f aca="false">IF(OR($D302="",$C302=""),"",MATCH(MAX(10,MIN(150,$C302)),'Flow Curves'!$A$5:$A$11,1))</f>
        <v/>
      </c>
      <c r="X302" s="2" t="str">
        <f aca="false">IF($W302="","",MIN($W302+1,7))</f>
        <v/>
      </c>
      <c r="Y302" s="2" t="str">
        <f aca="false">IF($W302="","",INDEX('Flow Curves'!$B$5:$B$11,$W302)*POWER($D302,INDEX('Flow Curves'!$C$5:$C$11,$W302)))</f>
        <v/>
      </c>
      <c r="Z302" s="2" t="str">
        <f aca="false">IF($W302="","",INDEX('Flow Curves'!$B$5:$B$11,$X302)*POWER($D302,INDEX('Flow Curves'!$C$5:$C$11,$X302)))</f>
        <v/>
      </c>
    </row>
    <row r="303" customFormat="false" ht="15" hidden="false" customHeight="false" outlineLevel="0" collapsed="false">
      <c r="A303" s="16" t="n">
        <v>296</v>
      </c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8" t="n">
        <f aca="false">IF($O303=0,0,$O303*60*Cost!$D$16*Cost!$D$17*IFERROR(INDEX(Cost!$I$5:$I$11,MATCH($B303,Cost!$H$5:$H$11,0)),0)/Cost!$D$5)</f>
        <v>0</v>
      </c>
      <c r="O303" s="19" t="n">
        <f aca="false">IF($W303="",0,IF(INDEX('Flow Curves'!$A$5:$A$11,$X303)=INDEX('Flow Curves'!$A$5:$A$11,$W303),$Y303,$Y303+($Z303-$Y303)*(MAX(10,MIN(150,$C303))-INDEX('Flow Curves'!$A$5:$A$11,$W303))/(INDEX('Flow Curves'!$A$5:$A$11,$X303)-INDEX('Flow Curves'!$A$5:$A$11,$W303))))</f>
        <v>0</v>
      </c>
      <c r="P303" s="20" t="n">
        <f aca="false">IF(OR($B303="Air",$B303="Open Blow"),$O303*60*Cost!$D$16*Cost!$D$17/Cost!$D$5*Cost!$D$13,0)</f>
        <v>0</v>
      </c>
      <c r="Q303" s="17"/>
      <c r="U303" s="16" t="str">
        <f aca="false">IF($D303="","",IF(ISNA(MATCH($B303,Cost!$H$5:$H$11,0)),"CHECK GAS TYPE",IF(OR($C303&lt;10,$C303&gt;150),"CHECK PRESSURE: outside 10-150 psi table",IF(OR($D303&lt;1,$D303&gt;120),"CHECK dB: outside 1-120 table",IF(ISNA(MATCH($C303,'Flow Curves'!$A$5:$A$11,0)),"INTERPOLATED between curves","Table curve")))))</f>
        <v/>
      </c>
      <c r="W303" s="2" t="str">
        <f aca="false">IF(OR($D303="",$C303=""),"",MATCH(MAX(10,MIN(150,$C303)),'Flow Curves'!$A$5:$A$11,1))</f>
        <v/>
      </c>
      <c r="X303" s="2" t="str">
        <f aca="false">IF($W303="","",MIN($W303+1,7))</f>
        <v/>
      </c>
      <c r="Y303" s="2" t="str">
        <f aca="false">IF($W303="","",INDEX('Flow Curves'!$B$5:$B$11,$W303)*POWER($D303,INDEX('Flow Curves'!$C$5:$C$11,$W303)))</f>
        <v/>
      </c>
      <c r="Z303" s="2" t="str">
        <f aca="false">IF($W303="","",INDEX('Flow Curves'!$B$5:$B$11,$X303)*POWER($D303,INDEX('Flow Curves'!$C$5:$C$11,$X303)))</f>
        <v/>
      </c>
    </row>
    <row r="304" customFormat="false" ht="15" hidden="false" customHeight="false" outlineLevel="0" collapsed="false">
      <c r="A304" s="16" t="n">
        <v>297</v>
      </c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8" t="n">
        <f aca="false">IF($O304=0,0,$O304*60*Cost!$D$16*Cost!$D$17*IFERROR(INDEX(Cost!$I$5:$I$11,MATCH($B304,Cost!$H$5:$H$11,0)),0)/Cost!$D$5)</f>
        <v>0</v>
      </c>
      <c r="O304" s="19" t="n">
        <f aca="false">IF($W304="",0,IF(INDEX('Flow Curves'!$A$5:$A$11,$X304)=INDEX('Flow Curves'!$A$5:$A$11,$W304),$Y304,$Y304+($Z304-$Y304)*(MAX(10,MIN(150,$C304))-INDEX('Flow Curves'!$A$5:$A$11,$W304))/(INDEX('Flow Curves'!$A$5:$A$11,$X304)-INDEX('Flow Curves'!$A$5:$A$11,$W304))))</f>
        <v>0</v>
      </c>
      <c r="P304" s="20" t="n">
        <f aca="false">IF(OR($B304="Air",$B304="Open Blow"),$O304*60*Cost!$D$16*Cost!$D$17/Cost!$D$5*Cost!$D$13,0)</f>
        <v>0</v>
      </c>
      <c r="Q304" s="17"/>
      <c r="U304" s="16" t="str">
        <f aca="false">IF($D304="","",IF(ISNA(MATCH($B304,Cost!$H$5:$H$11,0)),"CHECK GAS TYPE",IF(OR($C304&lt;10,$C304&gt;150),"CHECK PRESSURE: outside 10-150 psi table",IF(OR($D304&lt;1,$D304&gt;120),"CHECK dB: outside 1-120 table",IF(ISNA(MATCH($C304,'Flow Curves'!$A$5:$A$11,0)),"INTERPOLATED between curves","Table curve")))))</f>
        <v/>
      </c>
      <c r="W304" s="2" t="str">
        <f aca="false">IF(OR($D304="",$C304=""),"",MATCH(MAX(10,MIN(150,$C304)),'Flow Curves'!$A$5:$A$11,1))</f>
        <v/>
      </c>
      <c r="X304" s="2" t="str">
        <f aca="false">IF($W304="","",MIN($W304+1,7))</f>
        <v/>
      </c>
      <c r="Y304" s="2" t="str">
        <f aca="false">IF($W304="","",INDEX('Flow Curves'!$B$5:$B$11,$W304)*POWER($D304,INDEX('Flow Curves'!$C$5:$C$11,$W304)))</f>
        <v/>
      </c>
      <c r="Z304" s="2" t="str">
        <f aca="false">IF($W304="","",INDEX('Flow Curves'!$B$5:$B$11,$X304)*POWER($D304,INDEX('Flow Curves'!$C$5:$C$11,$X304)))</f>
        <v/>
      </c>
    </row>
    <row r="305" customFormat="false" ht="15" hidden="false" customHeight="false" outlineLevel="0" collapsed="false">
      <c r="A305" s="16" t="n">
        <v>298</v>
      </c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8" t="n">
        <f aca="false">IF($O305=0,0,$O305*60*Cost!$D$16*Cost!$D$17*IFERROR(INDEX(Cost!$I$5:$I$11,MATCH($B305,Cost!$H$5:$H$11,0)),0)/Cost!$D$5)</f>
        <v>0</v>
      </c>
      <c r="O305" s="19" t="n">
        <f aca="false">IF($W305="",0,IF(INDEX('Flow Curves'!$A$5:$A$11,$X305)=INDEX('Flow Curves'!$A$5:$A$11,$W305),$Y305,$Y305+($Z305-$Y305)*(MAX(10,MIN(150,$C305))-INDEX('Flow Curves'!$A$5:$A$11,$W305))/(INDEX('Flow Curves'!$A$5:$A$11,$X305)-INDEX('Flow Curves'!$A$5:$A$11,$W305))))</f>
        <v>0</v>
      </c>
      <c r="P305" s="20" t="n">
        <f aca="false">IF(OR($B305="Air",$B305="Open Blow"),$O305*60*Cost!$D$16*Cost!$D$17/Cost!$D$5*Cost!$D$13,0)</f>
        <v>0</v>
      </c>
      <c r="Q305" s="17"/>
      <c r="U305" s="16" t="str">
        <f aca="false">IF($D305="","",IF(ISNA(MATCH($B305,Cost!$H$5:$H$11,0)),"CHECK GAS TYPE",IF(OR($C305&lt;10,$C305&gt;150),"CHECK PRESSURE: outside 10-150 psi table",IF(OR($D305&lt;1,$D305&gt;120),"CHECK dB: outside 1-120 table",IF(ISNA(MATCH($C305,'Flow Curves'!$A$5:$A$11,0)),"INTERPOLATED between curves","Table curve")))))</f>
        <v/>
      </c>
      <c r="W305" s="2" t="str">
        <f aca="false">IF(OR($D305="",$C305=""),"",MATCH(MAX(10,MIN(150,$C305)),'Flow Curves'!$A$5:$A$11,1))</f>
        <v/>
      </c>
      <c r="X305" s="2" t="str">
        <f aca="false">IF($W305="","",MIN($W305+1,7))</f>
        <v/>
      </c>
      <c r="Y305" s="2" t="str">
        <f aca="false">IF($W305="","",INDEX('Flow Curves'!$B$5:$B$11,$W305)*POWER($D305,INDEX('Flow Curves'!$C$5:$C$11,$W305)))</f>
        <v/>
      </c>
      <c r="Z305" s="2" t="str">
        <f aca="false">IF($W305="","",INDEX('Flow Curves'!$B$5:$B$11,$X305)*POWER($D305,INDEX('Flow Curves'!$C$5:$C$11,$X305)))</f>
        <v/>
      </c>
    </row>
    <row r="306" customFormat="false" ht="15" hidden="false" customHeight="false" outlineLevel="0" collapsed="false">
      <c r="A306" s="16" t="n">
        <v>299</v>
      </c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8" t="n">
        <f aca="false">IF($O306=0,0,$O306*60*Cost!$D$16*Cost!$D$17*IFERROR(INDEX(Cost!$I$5:$I$11,MATCH($B306,Cost!$H$5:$H$11,0)),0)/Cost!$D$5)</f>
        <v>0</v>
      </c>
      <c r="O306" s="19" t="n">
        <f aca="false">IF($W306="",0,IF(INDEX('Flow Curves'!$A$5:$A$11,$X306)=INDEX('Flow Curves'!$A$5:$A$11,$W306),$Y306,$Y306+($Z306-$Y306)*(MAX(10,MIN(150,$C306))-INDEX('Flow Curves'!$A$5:$A$11,$W306))/(INDEX('Flow Curves'!$A$5:$A$11,$X306)-INDEX('Flow Curves'!$A$5:$A$11,$W306))))</f>
        <v>0</v>
      </c>
      <c r="P306" s="20" t="n">
        <f aca="false">IF(OR($B306="Air",$B306="Open Blow"),$O306*60*Cost!$D$16*Cost!$D$17/Cost!$D$5*Cost!$D$13,0)</f>
        <v>0</v>
      </c>
      <c r="Q306" s="17"/>
      <c r="U306" s="16" t="str">
        <f aca="false">IF($D306="","",IF(ISNA(MATCH($B306,Cost!$H$5:$H$11,0)),"CHECK GAS TYPE",IF(OR($C306&lt;10,$C306&gt;150),"CHECK PRESSURE: outside 10-150 psi table",IF(OR($D306&lt;1,$D306&gt;120),"CHECK dB: outside 1-120 table",IF(ISNA(MATCH($C306,'Flow Curves'!$A$5:$A$11,0)),"INTERPOLATED between curves","Table curve")))))</f>
        <v/>
      </c>
      <c r="W306" s="2" t="str">
        <f aca="false">IF(OR($D306="",$C306=""),"",MATCH(MAX(10,MIN(150,$C306)),'Flow Curves'!$A$5:$A$11,1))</f>
        <v/>
      </c>
      <c r="X306" s="2" t="str">
        <f aca="false">IF($W306="","",MIN($W306+1,7))</f>
        <v/>
      </c>
      <c r="Y306" s="2" t="str">
        <f aca="false">IF($W306="","",INDEX('Flow Curves'!$B$5:$B$11,$W306)*POWER($D306,INDEX('Flow Curves'!$C$5:$C$11,$W306)))</f>
        <v/>
      </c>
      <c r="Z306" s="2" t="str">
        <f aca="false">IF($W306="","",INDEX('Flow Curves'!$B$5:$B$11,$X306)*POWER($D306,INDEX('Flow Curves'!$C$5:$C$11,$X306)))</f>
        <v/>
      </c>
    </row>
    <row r="307" customFormat="false" ht="15" hidden="false" customHeight="false" outlineLevel="0" collapsed="false">
      <c r="A307" s="16" t="n">
        <v>300</v>
      </c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8" t="n">
        <f aca="false">IF($O307=0,0,$O307*60*Cost!$D$16*Cost!$D$17*IFERROR(INDEX(Cost!$I$5:$I$11,MATCH($B307,Cost!$H$5:$H$11,0)),0)/Cost!$D$5)</f>
        <v>0</v>
      </c>
      <c r="O307" s="19" t="n">
        <f aca="false">IF($W307="",0,IF(INDEX('Flow Curves'!$A$5:$A$11,$X307)=INDEX('Flow Curves'!$A$5:$A$11,$W307),$Y307,$Y307+($Z307-$Y307)*(MAX(10,MIN(150,$C307))-INDEX('Flow Curves'!$A$5:$A$11,$W307))/(INDEX('Flow Curves'!$A$5:$A$11,$X307)-INDEX('Flow Curves'!$A$5:$A$11,$W307))))</f>
        <v>0</v>
      </c>
      <c r="P307" s="20" t="n">
        <f aca="false">IF(OR($B307="Air",$B307="Open Blow"),$O307*60*Cost!$D$16*Cost!$D$17/Cost!$D$5*Cost!$D$13,0)</f>
        <v>0</v>
      </c>
      <c r="Q307" s="17"/>
      <c r="U307" s="16" t="str">
        <f aca="false">IF($D307="","",IF(ISNA(MATCH($B307,Cost!$H$5:$H$11,0)),"CHECK GAS TYPE",IF(OR($C307&lt;10,$C307&gt;150),"CHECK PRESSURE: outside 10-150 psi table",IF(OR($D307&lt;1,$D307&gt;120),"CHECK dB: outside 1-120 table",IF(ISNA(MATCH($C307,'Flow Curves'!$A$5:$A$11,0)),"INTERPOLATED between curves","Table curve")))))</f>
        <v/>
      </c>
      <c r="W307" s="2" t="str">
        <f aca="false">IF(OR($D307="",$C307=""),"",MATCH(MAX(10,MIN(150,$C307)),'Flow Curves'!$A$5:$A$11,1))</f>
        <v/>
      </c>
      <c r="X307" s="2" t="str">
        <f aca="false">IF($W307="","",MIN($W307+1,7))</f>
        <v/>
      </c>
      <c r="Y307" s="2" t="str">
        <f aca="false">IF($W307="","",INDEX('Flow Curves'!$B$5:$B$11,$W307)*POWER($D307,INDEX('Flow Curves'!$C$5:$C$11,$W307)))</f>
        <v/>
      </c>
      <c r="Z307" s="2" t="str">
        <f aca="false">IF($W307="","",INDEX('Flow Curves'!$B$5:$B$11,$X307)*POWER($D307,INDEX('Flow Curves'!$C$5:$C$11,$X307)))</f>
        <v/>
      </c>
    </row>
    <row r="308" customFormat="false" ht="15" hidden="false" customHeight="false" outlineLevel="0" collapsed="false">
      <c r="A308" s="16" t="n">
        <v>301</v>
      </c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8" t="n">
        <f aca="false">IF($O308=0,0,$O308*60*Cost!$D$16*Cost!$D$17*IFERROR(INDEX(Cost!$I$5:$I$11,MATCH($B308,Cost!$H$5:$H$11,0)),0)/Cost!$D$5)</f>
        <v>0</v>
      </c>
      <c r="O308" s="19" t="n">
        <f aca="false">IF($W308="",0,IF(INDEX('Flow Curves'!$A$5:$A$11,$X308)=INDEX('Flow Curves'!$A$5:$A$11,$W308),$Y308,$Y308+($Z308-$Y308)*(MAX(10,MIN(150,$C308))-INDEX('Flow Curves'!$A$5:$A$11,$W308))/(INDEX('Flow Curves'!$A$5:$A$11,$X308)-INDEX('Flow Curves'!$A$5:$A$11,$W308))))</f>
        <v>0</v>
      </c>
      <c r="P308" s="20" t="n">
        <f aca="false">IF(OR($B308="Air",$B308="Open Blow"),$O308*60*Cost!$D$16*Cost!$D$17/Cost!$D$5*Cost!$D$13,0)</f>
        <v>0</v>
      </c>
      <c r="Q308" s="17"/>
      <c r="U308" s="16" t="str">
        <f aca="false">IF($D308="","",IF(ISNA(MATCH($B308,Cost!$H$5:$H$11,0)),"CHECK GAS TYPE",IF(OR($C308&lt;10,$C308&gt;150),"CHECK PRESSURE: outside 10-150 psi table",IF(OR($D308&lt;1,$D308&gt;120),"CHECK dB: outside 1-120 table",IF(ISNA(MATCH($C308,'Flow Curves'!$A$5:$A$11,0)),"INTERPOLATED between curves","Table curve")))))</f>
        <v/>
      </c>
      <c r="W308" s="2" t="str">
        <f aca="false">IF(OR($D308="",$C308=""),"",MATCH(MAX(10,MIN(150,$C308)),'Flow Curves'!$A$5:$A$11,1))</f>
        <v/>
      </c>
      <c r="X308" s="2" t="str">
        <f aca="false">IF($W308="","",MIN($W308+1,7))</f>
        <v/>
      </c>
      <c r="Y308" s="2" t="str">
        <f aca="false">IF($W308="","",INDEX('Flow Curves'!$B$5:$B$11,$W308)*POWER($D308,INDEX('Flow Curves'!$C$5:$C$11,$W308)))</f>
        <v/>
      </c>
      <c r="Z308" s="2" t="str">
        <f aca="false">IF($W308="","",INDEX('Flow Curves'!$B$5:$B$11,$X308)*POWER($D308,INDEX('Flow Curves'!$C$5:$C$11,$X308)))</f>
        <v/>
      </c>
    </row>
    <row r="309" customFormat="false" ht="15" hidden="false" customHeight="false" outlineLevel="0" collapsed="false">
      <c r="A309" s="16" t="n">
        <v>302</v>
      </c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8" t="n">
        <f aca="false">IF($O309=0,0,$O309*60*Cost!$D$16*Cost!$D$17*IFERROR(INDEX(Cost!$I$5:$I$11,MATCH($B309,Cost!$H$5:$H$11,0)),0)/Cost!$D$5)</f>
        <v>0</v>
      </c>
      <c r="O309" s="19" t="n">
        <f aca="false">IF($W309="",0,IF(INDEX('Flow Curves'!$A$5:$A$11,$X309)=INDEX('Flow Curves'!$A$5:$A$11,$W309),$Y309,$Y309+($Z309-$Y309)*(MAX(10,MIN(150,$C309))-INDEX('Flow Curves'!$A$5:$A$11,$W309))/(INDEX('Flow Curves'!$A$5:$A$11,$X309)-INDEX('Flow Curves'!$A$5:$A$11,$W309))))</f>
        <v>0</v>
      </c>
      <c r="P309" s="20" t="n">
        <f aca="false">IF(OR($B309="Air",$B309="Open Blow"),$O309*60*Cost!$D$16*Cost!$D$17/Cost!$D$5*Cost!$D$13,0)</f>
        <v>0</v>
      </c>
      <c r="Q309" s="17"/>
      <c r="U309" s="16" t="str">
        <f aca="false">IF($D309="","",IF(ISNA(MATCH($B309,Cost!$H$5:$H$11,0)),"CHECK GAS TYPE",IF(OR($C309&lt;10,$C309&gt;150),"CHECK PRESSURE: outside 10-150 psi table",IF(OR($D309&lt;1,$D309&gt;120),"CHECK dB: outside 1-120 table",IF(ISNA(MATCH($C309,'Flow Curves'!$A$5:$A$11,0)),"INTERPOLATED between curves","Table curve")))))</f>
        <v/>
      </c>
      <c r="W309" s="2" t="str">
        <f aca="false">IF(OR($D309="",$C309=""),"",MATCH(MAX(10,MIN(150,$C309)),'Flow Curves'!$A$5:$A$11,1))</f>
        <v/>
      </c>
      <c r="X309" s="2" t="str">
        <f aca="false">IF($W309="","",MIN($W309+1,7))</f>
        <v/>
      </c>
      <c r="Y309" s="2" t="str">
        <f aca="false">IF($W309="","",INDEX('Flow Curves'!$B$5:$B$11,$W309)*POWER($D309,INDEX('Flow Curves'!$C$5:$C$11,$W309)))</f>
        <v/>
      </c>
      <c r="Z309" s="2" t="str">
        <f aca="false">IF($W309="","",INDEX('Flow Curves'!$B$5:$B$11,$X309)*POWER($D309,INDEX('Flow Curves'!$C$5:$C$11,$X309)))</f>
        <v/>
      </c>
    </row>
    <row r="310" customFormat="false" ht="15" hidden="false" customHeight="false" outlineLevel="0" collapsed="false">
      <c r="A310" s="16" t="n">
        <v>303</v>
      </c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8" t="n">
        <f aca="false">IF($O310=0,0,$O310*60*Cost!$D$16*Cost!$D$17*IFERROR(INDEX(Cost!$I$5:$I$11,MATCH($B310,Cost!$H$5:$H$11,0)),0)/Cost!$D$5)</f>
        <v>0</v>
      </c>
      <c r="O310" s="19" t="n">
        <f aca="false">IF($W310="",0,IF(INDEX('Flow Curves'!$A$5:$A$11,$X310)=INDEX('Flow Curves'!$A$5:$A$11,$W310),$Y310,$Y310+($Z310-$Y310)*(MAX(10,MIN(150,$C310))-INDEX('Flow Curves'!$A$5:$A$11,$W310))/(INDEX('Flow Curves'!$A$5:$A$11,$X310)-INDEX('Flow Curves'!$A$5:$A$11,$W310))))</f>
        <v>0</v>
      </c>
      <c r="P310" s="20" t="n">
        <f aca="false">IF(OR($B310="Air",$B310="Open Blow"),$O310*60*Cost!$D$16*Cost!$D$17/Cost!$D$5*Cost!$D$13,0)</f>
        <v>0</v>
      </c>
      <c r="Q310" s="17"/>
      <c r="U310" s="16" t="str">
        <f aca="false">IF($D310="","",IF(ISNA(MATCH($B310,Cost!$H$5:$H$11,0)),"CHECK GAS TYPE",IF(OR($C310&lt;10,$C310&gt;150),"CHECK PRESSURE: outside 10-150 psi table",IF(OR($D310&lt;1,$D310&gt;120),"CHECK dB: outside 1-120 table",IF(ISNA(MATCH($C310,'Flow Curves'!$A$5:$A$11,0)),"INTERPOLATED between curves","Table curve")))))</f>
        <v/>
      </c>
      <c r="W310" s="2" t="str">
        <f aca="false">IF(OR($D310="",$C310=""),"",MATCH(MAX(10,MIN(150,$C310)),'Flow Curves'!$A$5:$A$11,1))</f>
        <v/>
      </c>
      <c r="X310" s="2" t="str">
        <f aca="false">IF($W310="","",MIN($W310+1,7))</f>
        <v/>
      </c>
      <c r="Y310" s="2" t="str">
        <f aca="false">IF($W310="","",INDEX('Flow Curves'!$B$5:$B$11,$W310)*POWER($D310,INDEX('Flow Curves'!$C$5:$C$11,$W310)))</f>
        <v/>
      </c>
      <c r="Z310" s="2" t="str">
        <f aca="false">IF($W310="","",INDEX('Flow Curves'!$B$5:$B$11,$X310)*POWER($D310,INDEX('Flow Curves'!$C$5:$C$11,$X310)))</f>
        <v/>
      </c>
    </row>
    <row r="311" customFormat="false" ht="15" hidden="false" customHeight="false" outlineLevel="0" collapsed="false">
      <c r="A311" s="16" t="n">
        <v>304</v>
      </c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8" t="n">
        <f aca="false">IF($O311=0,0,$O311*60*Cost!$D$16*Cost!$D$17*IFERROR(INDEX(Cost!$I$5:$I$11,MATCH($B311,Cost!$H$5:$H$11,0)),0)/Cost!$D$5)</f>
        <v>0</v>
      </c>
      <c r="O311" s="19" t="n">
        <f aca="false">IF($W311="",0,IF(INDEX('Flow Curves'!$A$5:$A$11,$X311)=INDEX('Flow Curves'!$A$5:$A$11,$W311),$Y311,$Y311+($Z311-$Y311)*(MAX(10,MIN(150,$C311))-INDEX('Flow Curves'!$A$5:$A$11,$W311))/(INDEX('Flow Curves'!$A$5:$A$11,$X311)-INDEX('Flow Curves'!$A$5:$A$11,$W311))))</f>
        <v>0</v>
      </c>
      <c r="P311" s="20" t="n">
        <f aca="false">IF(OR($B311="Air",$B311="Open Blow"),$O311*60*Cost!$D$16*Cost!$D$17/Cost!$D$5*Cost!$D$13,0)</f>
        <v>0</v>
      </c>
      <c r="Q311" s="17"/>
      <c r="U311" s="16" t="str">
        <f aca="false">IF($D311="","",IF(ISNA(MATCH($B311,Cost!$H$5:$H$11,0)),"CHECK GAS TYPE",IF(OR($C311&lt;10,$C311&gt;150),"CHECK PRESSURE: outside 10-150 psi table",IF(OR($D311&lt;1,$D311&gt;120),"CHECK dB: outside 1-120 table",IF(ISNA(MATCH($C311,'Flow Curves'!$A$5:$A$11,0)),"INTERPOLATED between curves","Table curve")))))</f>
        <v/>
      </c>
      <c r="W311" s="2" t="str">
        <f aca="false">IF(OR($D311="",$C311=""),"",MATCH(MAX(10,MIN(150,$C311)),'Flow Curves'!$A$5:$A$11,1))</f>
        <v/>
      </c>
      <c r="X311" s="2" t="str">
        <f aca="false">IF($W311="","",MIN($W311+1,7))</f>
        <v/>
      </c>
      <c r="Y311" s="2" t="str">
        <f aca="false">IF($W311="","",INDEX('Flow Curves'!$B$5:$B$11,$W311)*POWER($D311,INDEX('Flow Curves'!$C$5:$C$11,$W311)))</f>
        <v/>
      </c>
      <c r="Z311" s="2" t="str">
        <f aca="false">IF($W311="","",INDEX('Flow Curves'!$B$5:$B$11,$X311)*POWER($D311,INDEX('Flow Curves'!$C$5:$C$11,$X311)))</f>
        <v/>
      </c>
    </row>
    <row r="312" customFormat="false" ht="15" hidden="false" customHeight="false" outlineLevel="0" collapsed="false">
      <c r="A312" s="16" t="n">
        <v>305</v>
      </c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8" t="n">
        <f aca="false">IF($O312=0,0,$O312*60*Cost!$D$16*Cost!$D$17*IFERROR(INDEX(Cost!$I$5:$I$11,MATCH($B312,Cost!$H$5:$H$11,0)),0)/Cost!$D$5)</f>
        <v>0</v>
      </c>
      <c r="O312" s="19" t="n">
        <f aca="false">IF($W312="",0,IF(INDEX('Flow Curves'!$A$5:$A$11,$X312)=INDEX('Flow Curves'!$A$5:$A$11,$W312),$Y312,$Y312+($Z312-$Y312)*(MAX(10,MIN(150,$C312))-INDEX('Flow Curves'!$A$5:$A$11,$W312))/(INDEX('Flow Curves'!$A$5:$A$11,$X312)-INDEX('Flow Curves'!$A$5:$A$11,$W312))))</f>
        <v>0</v>
      </c>
      <c r="P312" s="20" t="n">
        <f aca="false">IF(OR($B312="Air",$B312="Open Blow"),$O312*60*Cost!$D$16*Cost!$D$17/Cost!$D$5*Cost!$D$13,0)</f>
        <v>0</v>
      </c>
      <c r="Q312" s="17"/>
      <c r="U312" s="16" t="str">
        <f aca="false">IF($D312="","",IF(ISNA(MATCH($B312,Cost!$H$5:$H$11,0)),"CHECK GAS TYPE",IF(OR($C312&lt;10,$C312&gt;150),"CHECK PRESSURE: outside 10-150 psi table",IF(OR($D312&lt;1,$D312&gt;120),"CHECK dB: outside 1-120 table",IF(ISNA(MATCH($C312,'Flow Curves'!$A$5:$A$11,0)),"INTERPOLATED between curves","Table curve")))))</f>
        <v/>
      </c>
      <c r="W312" s="2" t="str">
        <f aca="false">IF(OR($D312="",$C312=""),"",MATCH(MAX(10,MIN(150,$C312)),'Flow Curves'!$A$5:$A$11,1))</f>
        <v/>
      </c>
      <c r="X312" s="2" t="str">
        <f aca="false">IF($W312="","",MIN($W312+1,7))</f>
        <v/>
      </c>
      <c r="Y312" s="2" t="str">
        <f aca="false">IF($W312="","",INDEX('Flow Curves'!$B$5:$B$11,$W312)*POWER($D312,INDEX('Flow Curves'!$C$5:$C$11,$W312)))</f>
        <v/>
      </c>
      <c r="Z312" s="2" t="str">
        <f aca="false">IF($W312="","",INDEX('Flow Curves'!$B$5:$B$11,$X312)*POWER($D312,INDEX('Flow Curves'!$C$5:$C$11,$X312)))</f>
        <v/>
      </c>
    </row>
    <row r="313" customFormat="false" ht="15" hidden="false" customHeight="false" outlineLevel="0" collapsed="false">
      <c r="A313" s="16" t="n">
        <v>306</v>
      </c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8" t="n">
        <f aca="false">IF($O313=0,0,$O313*60*Cost!$D$16*Cost!$D$17*IFERROR(INDEX(Cost!$I$5:$I$11,MATCH($B313,Cost!$H$5:$H$11,0)),0)/Cost!$D$5)</f>
        <v>0</v>
      </c>
      <c r="O313" s="19" t="n">
        <f aca="false">IF($W313="",0,IF(INDEX('Flow Curves'!$A$5:$A$11,$X313)=INDEX('Flow Curves'!$A$5:$A$11,$W313),$Y313,$Y313+($Z313-$Y313)*(MAX(10,MIN(150,$C313))-INDEX('Flow Curves'!$A$5:$A$11,$W313))/(INDEX('Flow Curves'!$A$5:$A$11,$X313)-INDEX('Flow Curves'!$A$5:$A$11,$W313))))</f>
        <v>0</v>
      </c>
      <c r="P313" s="20" t="n">
        <f aca="false">IF(OR($B313="Air",$B313="Open Blow"),$O313*60*Cost!$D$16*Cost!$D$17/Cost!$D$5*Cost!$D$13,0)</f>
        <v>0</v>
      </c>
      <c r="Q313" s="17"/>
      <c r="U313" s="16" t="str">
        <f aca="false">IF($D313="","",IF(ISNA(MATCH($B313,Cost!$H$5:$H$11,0)),"CHECK GAS TYPE",IF(OR($C313&lt;10,$C313&gt;150),"CHECK PRESSURE: outside 10-150 psi table",IF(OR($D313&lt;1,$D313&gt;120),"CHECK dB: outside 1-120 table",IF(ISNA(MATCH($C313,'Flow Curves'!$A$5:$A$11,0)),"INTERPOLATED between curves","Table curve")))))</f>
        <v/>
      </c>
      <c r="W313" s="2" t="str">
        <f aca="false">IF(OR($D313="",$C313=""),"",MATCH(MAX(10,MIN(150,$C313)),'Flow Curves'!$A$5:$A$11,1))</f>
        <v/>
      </c>
      <c r="X313" s="2" t="str">
        <f aca="false">IF($W313="","",MIN($W313+1,7))</f>
        <v/>
      </c>
      <c r="Y313" s="2" t="str">
        <f aca="false">IF($W313="","",INDEX('Flow Curves'!$B$5:$B$11,$W313)*POWER($D313,INDEX('Flow Curves'!$C$5:$C$11,$W313)))</f>
        <v/>
      </c>
      <c r="Z313" s="2" t="str">
        <f aca="false">IF($W313="","",INDEX('Flow Curves'!$B$5:$B$11,$X313)*POWER($D313,INDEX('Flow Curves'!$C$5:$C$11,$X313)))</f>
        <v/>
      </c>
    </row>
    <row r="314" customFormat="false" ht="15" hidden="false" customHeight="false" outlineLevel="0" collapsed="false">
      <c r="A314" s="16" t="n">
        <v>307</v>
      </c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8" t="n">
        <f aca="false">IF($O314=0,0,$O314*60*Cost!$D$16*Cost!$D$17*IFERROR(INDEX(Cost!$I$5:$I$11,MATCH($B314,Cost!$H$5:$H$11,0)),0)/Cost!$D$5)</f>
        <v>0</v>
      </c>
      <c r="O314" s="19" t="n">
        <f aca="false">IF($W314="",0,IF(INDEX('Flow Curves'!$A$5:$A$11,$X314)=INDEX('Flow Curves'!$A$5:$A$11,$W314),$Y314,$Y314+($Z314-$Y314)*(MAX(10,MIN(150,$C314))-INDEX('Flow Curves'!$A$5:$A$11,$W314))/(INDEX('Flow Curves'!$A$5:$A$11,$X314)-INDEX('Flow Curves'!$A$5:$A$11,$W314))))</f>
        <v>0</v>
      </c>
      <c r="P314" s="20" t="n">
        <f aca="false">IF(OR($B314="Air",$B314="Open Blow"),$O314*60*Cost!$D$16*Cost!$D$17/Cost!$D$5*Cost!$D$13,0)</f>
        <v>0</v>
      </c>
      <c r="Q314" s="17"/>
      <c r="U314" s="16" t="str">
        <f aca="false">IF($D314="","",IF(ISNA(MATCH($B314,Cost!$H$5:$H$11,0)),"CHECK GAS TYPE",IF(OR($C314&lt;10,$C314&gt;150),"CHECK PRESSURE: outside 10-150 psi table",IF(OR($D314&lt;1,$D314&gt;120),"CHECK dB: outside 1-120 table",IF(ISNA(MATCH($C314,'Flow Curves'!$A$5:$A$11,0)),"INTERPOLATED between curves","Table curve")))))</f>
        <v/>
      </c>
      <c r="W314" s="2" t="str">
        <f aca="false">IF(OR($D314="",$C314=""),"",MATCH(MAX(10,MIN(150,$C314)),'Flow Curves'!$A$5:$A$11,1))</f>
        <v/>
      </c>
      <c r="X314" s="2" t="str">
        <f aca="false">IF($W314="","",MIN($W314+1,7))</f>
        <v/>
      </c>
      <c r="Y314" s="2" t="str">
        <f aca="false">IF($W314="","",INDEX('Flow Curves'!$B$5:$B$11,$W314)*POWER($D314,INDEX('Flow Curves'!$C$5:$C$11,$W314)))</f>
        <v/>
      </c>
      <c r="Z314" s="2" t="str">
        <f aca="false">IF($W314="","",INDEX('Flow Curves'!$B$5:$B$11,$X314)*POWER($D314,INDEX('Flow Curves'!$C$5:$C$11,$X314)))</f>
        <v/>
      </c>
    </row>
    <row r="315" customFormat="false" ht="15" hidden="false" customHeight="false" outlineLevel="0" collapsed="false">
      <c r="A315" s="16" t="n">
        <v>308</v>
      </c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8" t="n">
        <f aca="false">IF($O315=0,0,$O315*60*Cost!$D$16*Cost!$D$17*IFERROR(INDEX(Cost!$I$5:$I$11,MATCH($B315,Cost!$H$5:$H$11,0)),0)/Cost!$D$5)</f>
        <v>0</v>
      </c>
      <c r="O315" s="19" t="n">
        <f aca="false">IF($W315="",0,IF(INDEX('Flow Curves'!$A$5:$A$11,$X315)=INDEX('Flow Curves'!$A$5:$A$11,$W315),$Y315,$Y315+($Z315-$Y315)*(MAX(10,MIN(150,$C315))-INDEX('Flow Curves'!$A$5:$A$11,$W315))/(INDEX('Flow Curves'!$A$5:$A$11,$X315)-INDEX('Flow Curves'!$A$5:$A$11,$W315))))</f>
        <v>0</v>
      </c>
      <c r="P315" s="20" t="n">
        <f aca="false">IF(OR($B315="Air",$B315="Open Blow"),$O315*60*Cost!$D$16*Cost!$D$17/Cost!$D$5*Cost!$D$13,0)</f>
        <v>0</v>
      </c>
      <c r="Q315" s="17"/>
      <c r="U315" s="16" t="str">
        <f aca="false">IF($D315="","",IF(ISNA(MATCH($B315,Cost!$H$5:$H$11,0)),"CHECK GAS TYPE",IF(OR($C315&lt;10,$C315&gt;150),"CHECK PRESSURE: outside 10-150 psi table",IF(OR($D315&lt;1,$D315&gt;120),"CHECK dB: outside 1-120 table",IF(ISNA(MATCH($C315,'Flow Curves'!$A$5:$A$11,0)),"INTERPOLATED between curves","Table curve")))))</f>
        <v/>
      </c>
      <c r="W315" s="2" t="str">
        <f aca="false">IF(OR($D315="",$C315=""),"",MATCH(MAX(10,MIN(150,$C315)),'Flow Curves'!$A$5:$A$11,1))</f>
        <v/>
      </c>
      <c r="X315" s="2" t="str">
        <f aca="false">IF($W315="","",MIN($W315+1,7))</f>
        <v/>
      </c>
      <c r="Y315" s="2" t="str">
        <f aca="false">IF($W315="","",INDEX('Flow Curves'!$B$5:$B$11,$W315)*POWER($D315,INDEX('Flow Curves'!$C$5:$C$11,$W315)))</f>
        <v/>
      </c>
      <c r="Z315" s="2" t="str">
        <f aca="false">IF($W315="","",INDEX('Flow Curves'!$B$5:$B$11,$X315)*POWER($D315,INDEX('Flow Curves'!$C$5:$C$11,$X315)))</f>
        <v/>
      </c>
    </row>
    <row r="316" customFormat="false" ht="15" hidden="false" customHeight="false" outlineLevel="0" collapsed="false">
      <c r="A316" s="16" t="n">
        <v>309</v>
      </c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8" t="n">
        <f aca="false">IF($O316=0,0,$O316*60*Cost!$D$16*Cost!$D$17*IFERROR(INDEX(Cost!$I$5:$I$11,MATCH($B316,Cost!$H$5:$H$11,0)),0)/Cost!$D$5)</f>
        <v>0</v>
      </c>
      <c r="O316" s="19" t="n">
        <f aca="false">IF($W316="",0,IF(INDEX('Flow Curves'!$A$5:$A$11,$X316)=INDEX('Flow Curves'!$A$5:$A$11,$W316),$Y316,$Y316+($Z316-$Y316)*(MAX(10,MIN(150,$C316))-INDEX('Flow Curves'!$A$5:$A$11,$W316))/(INDEX('Flow Curves'!$A$5:$A$11,$X316)-INDEX('Flow Curves'!$A$5:$A$11,$W316))))</f>
        <v>0</v>
      </c>
      <c r="P316" s="20" t="n">
        <f aca="false">IF(OR($B316="Air",$B316="Open Blow"),$O316*60*Cost!$D$16*Cost!$D$17/Cost!$D$5*Cost!$D$13,0)</f>
        <v>0</v>
      </c>
      <c r="Q316" s="17"/>
      <c r="U316" s="16" t="str">
        <f aca="false">IF($D316="","",IF(ISNA(MATCH($B316,Cost!$H$5:$H$11,0)),"CHECK GAS TYPE",IF(OR($C316&lt;10,$C316&gt;150),"CHECK PRESSURE: outside 10-150 psi table",IF(OR($D316&lt;1,$D316&gt;120),"CHECK dB: outside 1-120 table",IF(ISNA(MATCH($C316,'Flow Curves'!$A$5:$A$11,0)),"INTERPOLATED between curves","Table curve")))))</f>
        <v/>
      </c>
      <c r="W316" s="2" t="str">
        <f aca="false">IF(OR($D316="",$C316=""),"",MATCH(MAX(10,MIN(150,$C316)),'Flow Curves'!$A$5:$A$11,1))</f>
        <v/>
      </c>
      <c r="X316" s="2" t="str">
        <f aca="false">IF($W316="","",MIN($W316+1,7))</f>
        <v/>
      </c>
      <c r="Y316" s="2" t="str">
        <f aca="false">IF($W316="","",INDEX('Flow Curves'!$B$5:$B$11,$W316)*POWER($D316,INDEX('Flow Curves'!$C$5:$C$11,$W316)))</f>
        <v/>
      </c>
      <c r="Z316" s="2" t="str">
        <f aca="false">IF($W316="","",INDEX('Flow Curves'!$B$5:$B$11,$X316)*POWER($D316,INDEX('Flow Curves'!$C$5:$C$11,$X316)))</f>
        <v/>
      </c>
    </row>
    <row r="317" customFormat="false" ht="15" hidden="false" customHeight="false" outlineLevel="0" collapsed="false">
      <c r="A317" s="16" t="n">
        <v>310</v>
      </c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8" t="n">
        <f aca="false">IF($O317=0,0,$O317*60*Cost!$D$16*Cost!$D$17*IFERROR(INDEX(Cost!$I$5:$I$11,MATCH($B317,Cost!$H$5:$H$11,0)),0)/Cost!$D$5)</f>
        <v>0</v>
      </c>
      <c r="O317" s="19" t="n">
        <f aca="false">IF($W317="",0,IF(INDEX('Flow Curves'!$A$5:$A$11,$X317)=INDEX('Flow Curves'!$A$5:$A$11,$W317),$Y317,$Y317+($Z317-$Y317)*(MAX(10,MIN(150,$C317))-INDEX('Flow Curves'!$A$5:$A$11,$W317))/(INDEX('Flow Curves'!$A$5:$A$11,$X317)-INDEX('Flow Curves'!$A$5:$A$11,$W317))))</f>
        <v>0</v>
      </c>
      <c r="P317" s="20" t="n">
        <f aca="false">IF(OR($B317="Air",$B317="Open Blow"),$O317*60*Cost!$D$16*Cost!$D$17/Cost!$D$5*Cost!$D$13,0)</f>
        <v>0</v>
      </c>
      <c r="Q317" s="17"/>
      <c r="U317" s="16" t="str">
        <f aca="false">IF($D317="","",IF(ISNA(MATCH($B317,Cost!$H$5:$H$11,0)),"CHECK GAS TYPE",IF(OR($C317&lt;10,$C317&gt;150),"CHECK PRESSURE: outside 10-150 psi table",IF(OR($D317&lt;1,$D317&gt;120),"CHECK dB: outside 1-120 table",IF(ISNA(MATCH($C317,'Flow Curves'!$A$5:$A$11,0)),"INTERPOLATED between curves","Table curve")))))</f>
        <v/>
      </c>
      <c r="W317" s="2" t="str">
        <f aca="false">IF(OR($D317="",$C317=""),"",MATCH(MAX(10,MIN(150,$C317)),'Flow Curves'!$A$5:$A$11,1))</f>
        <v/>
      </c>
      <c r="X317" s="2" t="str">
        <f aca="false">IF($W317="","",MIN($W317+1,7))</f>
        <v/>
      </c>
      <c r="Y317" s="2" t="str">
        <f aca="false">IF($W317="","",INDEX('Flow Curves'!$B$5:$B$11,$W317)*POWER($D317,INDEX('Flow Curves'!$C$5:$C$11,$W317)))</f>
        <v/>
      </c>
      <c r="Z317" s="2" t="str">
        <f aca="false">IF($W317="","",INDEX('Flow Curves'!$B$5:$B$11,$X317)*POWER($D317,INDEX('Flow Curves'!$C$5:$C$11,$X317)))</f>
        <v/>
      </c>
    </row>
    <row r="318" customFormat="false" ht="15" hidden="false" customHeight="false" outlineLevel="0" collapsed="false">
      <c r="A318" s="16" t="n">
        <v>311</v>
      </c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8" t="n">
        <f aca="false">IF($O318=0,0,$O318*60*Cost!$D$16*Cost!$D$17*IFERROR(INDEX(Cost!$I$5:$I$11,MATCH($B318,Cost!$H$5:$H$11,0)),0)/Cost!$D$5)</f>
        <v>0</v>
      </c>
      <c r="O318" s="19" t="n">
        <f aca="false">IF($W318="",0,IF(INDEX('Flow Curves'!$A$5:$A$11,$X318)=INDEX('Flow Curves'!$A$5:$A$11,$W318),$Y318,$Y318+($Z318-$Y318)*(MAX(10,MIN(150,$C318))-INDEX('Flow Curves'!$A$5:$A$11,$W318))/(INDEX('Flow Curves'!$A$5:$A$11,$X318)-INDEX('Flow Curves'!$A$5:$A$11,$W318))))</f>
        <v>0</v>
      </c>
      <c r="P318" s="20" t="n">
        <f aca="false">IF(OR($B318="Air",$B318="Open Blow"),$O318*60*Cost!$D$16*Cost!$D$17/Cost!$D$5*Cost!$D$13,0)</f>
        <v>0</v>
      </c>
      <c r="Q318" s="17"/>
      <c r="U318" s="16" t="str">
        <f aca="false">IF($D318="","",IF(ISNA(MATCH($B318,Cost!$H$5:$H$11,0)),"CHECK GAS TYPE",IF(OR($C318&lt;10,$C318&gt;150),"CHECK PRESSURE: outside 10-150 psi table",IF(OR($D318&lt;1,$D318&gt;120),"CHECK dB: outside 1-120 table",IF(ISNA(MATCH($C318,'Flow Curves'!$A$5:$A$11,0)),"INTERPOLATED between curves","Table curve")))))</f>
        <v/>
      </c>
      <c r="W318" s="2" t="str">
        <f aca="false">IF(OR($D318="",$C318=""),"",MATCH(MAX(10,MIN(150,$C318)),'Flow Curves'!$A$5:$A$11,1))</f>
        <v/>
      </c>
      <c r="X318" s="2" t="str">
        <f aca="false">IF($W318="","",MIN($W318+1,7))</f>
        <v/>
      </c>
      <c r="Y318" s="2" t="str">
        <f aca="false">IF($W318="","",INDEX('Flow Curves'!$B$5:$B$11,$W318)*POWER($D318,INDEX('Flow Curves'!$C$5:$C$11,$W318)))</f>
        <v/>
      </c>
      <c r="Z318" s="2" t="str">
        <f aca="false">IF($W318="","",INDEX('Flow Curves'!$B$5:$B$11,$X318)*POWER($D318,INDEX('Flow Curves'!$C$5:$C$11,$X318)))</f>
        <v/>
      </c>
    </row>
    <row r="319" customFormat="false" ht="15" hidden="false" customHeight="false" outlineLevel="0" collapsed="false">
      <c r="A319" s="16" t="n">
        <v>312</v>
      </c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8" t="n">
        <f aca="false">IF($O319=0,0,$O319*60*Cost!$D$16*Cost!$D$17*IFERROR(INDEX(Cost!$I$5:$I$11,MATCH($B319,Cost!$H$5:$H$11,0)),0)/Cost!$D$5)</f>
        <v>0</v>
      </c>
      <c r="O319" s="19" t="n">
        <f aca="false">IF($W319="",0,IF(INDEX('Flow Curves'!$A$5:$A$11,$X319)=INDEX('Flow Curves'!$A$5:$A$11,$W319),$Y319,$Y319+($Z319-$Y319)*(MAX(10,MIN(150,$C319))-INDEX('Flow Curves'!$A$5:$A$11,$W319))/(INDEX('Flow Curves'!$A$5:$A$11,$X319)-INDEX('Flow Curves'!$A$5:$A$11,$W319))))</f>
        <v>0</v>
      </c>
      <c r="P319" s="20" t="n">
        <f aca="false">IF(OR($B319="Air",$B319="Open Blow"),$O319*60*Cost!$D$16*Cost!$D$17/Cost!$D$5*Cost!$D$13,0)</f>
        <v>0</v>
      </c>
      <c r="Q319" s="17"/>
      <c r="U319" s="16" t="str">
        <f aca="false">IF($D319="","",IF(ISNA(MATCH($B319,Cost!$H$5:$H$11,0)),"CHECK GAS TYPE",IF(OR($C319&lt;10,$C319&gt;150),"CHECK PRESSURE: outside 10-150 psi table",IF(OR($D319&lt;1,$D319&gt;120),"CHECK dB: outside 1-120 table",IF(ISNA(MATCH($C319,'Flow Curves'!$A$5:$A$11,0)),"INTERPOLATED between curves","Table curve")))))</f>
        <v/>
      </c>
      <c r="W319" s="2" t="str">
        <f aca="false">IF(OR($D319="",$C319=""),"",MATCH(MAX(10,MIN(150,$C319)),'Flow Curves'!$A$5:$A$11,1))</f>
        <v/>
      </c>
      <c r="X319" s="2" t="str">
        <f aca="false">IF($W319="","",MIN($W319+1,7))</f>
        <v/>
      </c>
      <c r="Y319" s="2" t="str">
        <f aca="false">IF($W319="","",INDEX('Flow Curves'!$B$5:$B$11,$W319)*POWER($D319,INDEX('Flow Curves'!$C$5:$C$11,$W319)))</f>
        <v/>
      </c>
      <c r="Z319" s="2" t="str">
        <f aca="false">IF($W319="","",INDEX('Flow Curves'!$B$5:$B$11,$X319)*POWER($D319,INDEX('Flow Curves'!$C$5:$C$11,$X319)))</f>
        <v/>
      </c>
    </row>
    <row r="320" customFormat="false" ht="15" hidden="false" customHeight="false" outlineLevel="0" collapsed="false">
      <c r="A320" s="16" t="n">
        <v>313</v>
      </c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8" t="n">
        <f aca="false">IF($O320=0,0,$O320*60*Cost!$D$16*Cost!$D$17*IFERROR(INDEX(Cost!$I$5:$I$11,MATCH($B320,Cost!$H$5:$H$11,0)),0)/Cost!$D$5)</f>
        <v>0</v>
      </c>
      <c r="O320" s="19" t="n">
        <f aca="false">IF($W320="",0,IF(INDEX('Flow Curves'!$A$5:$A$11,$X320)=INDEX('Flow Curves'!$A$5:$A$11,$W320),$Y320,$Y320+($Z320-$Y320)*(MAX(10,MIN(150,$C320))-INDEX('Flow Curves'!$A$5:$A$11,$W320))/(INDEX('Flow Curves'!$A$5:$A$11,$X320)-INDEX('Flow Curves'!$A$5:$A$11,$W320))))</f>
        <v>0</v>
      </c>
      <c r="P320" s="20" t="n">
        <f aca="false">IF(OR($B320="Air",$B320="Open Blow"),$O320*60*Cost!$D$16*Cost!$D$17/Cost!$D$5*Cost!$D$13,0)</f>
        <v>0</v>
      </c>
      <c r="Q320" s="17"/>
      <c r="U320" s="16" t="str">
        <f aca="false">IF($D320="","",IF(ISNA(MATCH($B320,Cost!$H$5:$H$11,0)),"CHECK GAS TYPE",IF(OR($C320&lt;10,$C320&gt;150),"CHECK PRESSURE: outside 10-150 psi table",IF(OR($D320&lt;1,$D320&gt;120),"CHECK dB: outside 1-120 table",IF(ISNA(MATCH($C320,'Flow Curves'!$A$5:$A$11,0)),"INTERPOLATED between curves","Table curve")))))</f>
        <v/>
      </c>
      <c r="W320" s="2" t="str">
        <f aca="false">IF(OR($D320="",$C320=""),"",MATCH(MAX(10,MIN(150,$C320)),'Flow Curves'!$A$5:$A$11,1))</f>
        <v/>
      </c>
      <c r="X320" s="2" t="str">
        <f aca="false">IF($W320="","",MIN($W320+1,7))</f>
        <v/>
      </c>
      <c r="Y320" s="2" t="str">
        <f aca="false">IF($W320="","",INDEX('Flow Curves'!$B$5:$B$11,$W320)*POWER($D320,INDEX('Flow Curves'!$C$5:$C$11,$W320)))</f>
        <v/>
      </c>
      <c r="Z320" s="2" t="str">
        <f aca="false">IF($W320="","",INDEX('Flow Curves'!$B$5:$B$11,$X320)*POWER($D320,INDEX('Flow Curves'!$C$5:$C$11,$X320)))</f>
        <v/>
      </c>
    </row>
    <row r="321" customFormat="false" ht="15" hidden="false" customHeight="false" outlineLevel="0" collapsed="false">
      <c r="A321" s="16" t="n">
        <v>314</v>
      </c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8" t="n">
        <f aca="false">IF($O321=0,0,$O321*60*Cost!$D$16*Cost!$D$17*IFERROR(INDEX(Cost!$I$5:$I$11,MATCH($B321,Cost!$H$5:$H$11,0)),0)/Cost!$D$5)</f>
        <v>0</v>
      </c>
      <c r="O321" s="19" t="n">
        <f aca="false">IF($W321="",0,IF(INDEX('Flow Curves'!$A$5:$A$11,$X321)=INDEX('Flow Curves'!$A$5:$A$11,$W321),$Y321,$Y321+($Z321-$Y321)*(MAX(10,MIN(150,$C321))-INDEX('Flow Curves'!$A$5:$A$11,$W321))/(INDEX('Flow Curves'!$A$5:$A$11,$X321)-INDEX('Flow Curves'!$A$5:$A$11,$W321))))</f>
        <v>0</v>
      </c>
      <c r="P321" s="20" t="n">
        <f aca="false">IF(OR($B321="Air",$B321="Open Blow"),$O321*60*Cost!$D$16*Cost!$D$17/Cost!$D$5*Cost!$D$13,0)</f>
        <v>0</v>
      </c>
      <c r="Q321" s="17"/>
      <c r="U321" s="16" t="str">
        <f aca="false">IF($D321="","",IF(ISNA(MATCH($B321,Cost!$H$5:$H$11,0)),"CHECK GAS TYPE",IF(OR($C321&lt;10,$C321&gt;150),"CHECK PRESSURE: outside 10-150 psi table",IF(OR($D321&lt;1,$D321&gt;120),"CHECK dB: outside 1-120 table",IF(ISNA(MATCH($C321,'Flow Curves'!$A$5:$A$11,0)),"INTERPOLATED between curves","Table curve")))))</f>
        <v/>
      </c>
      <c r="W321" s="2" t="str">
        <f aca="false">IF(OR($D321="",$C321=""),"",MATCH(MAX(10,MIN(150,$C321)),'Flow Curves'!$A$5:$A$11,1))</f>
        <v/>
      </c>
      <c r="X321" s="2" t="str">
        <f aca="false">IF($W321="","",MIN($W321+1,7))</f>
        <v/>
      </c>
      <c r="Y321" s="2" t="str">
        <f aca="false">IF($W321="","",INDEX('Flow Curves'!$B$5:$B$11,$W321)*POWER($D321,INDEX('Flow Curves'!$C$5:$C$11,$W321)))</f>
        <v/>
      </c>
      <c r="Z321" s="2" t="str">
        <f aca="false">IF($W321="","",INDEX('Flow Curves'!$B$5:$B$11,$X321)*POWER($D321,INDEX('Flow Curves'!$C$5:$C$11,$X321)))</f>
        <v/>
      </c>
    </row>
    <row r="322" customFormat="false" ht="15" hidden="false" customHeight="false" outlineLevel="0" collapsed="false">
      <c r="A322" s="16" t="n">
        <v>315</v>
      </c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8" t="n">
        <f aca="false">IF($O322=0,0,$O322*60*Cost!$D$16*Cost!$D$17*IFERROR(INDEX(Cost!$I$5:$I$11,MATCH($B322,Cost!$H$5:$H$11,0)),0)/Cost!$D$5)</f>
        <v>0</v>
      </c>
      <c r="O322" s="19" t="n">
        <f aca="false">IF($W322="",0,IF(INDEX('Flow Curves'!$A$5:$A$11,$X322)=INDEX('Flow Curves'!$A$5:$A$11,$W322),$Y322,$Y322+($Z322-$Y322)*(MAX(10,MIN(150,$C322))-INDEX('Flow Curves'!$A$5:$A$11,$W322))/(INDEX('Flow Curves'!$A$5:$A$11,$X322)-INDEX('Flow Curves'!$A$5:$A$11,$W322))))</f>
        <v>0</v>
      </c>
      <c r="P322" s="20" t="n">
        <f aca="false">IF(OR($B322="Air",$B322="Open Blow"),$O322*60*Cost!$D$16*Cost!$D$17/Cost!$D$5*Cost!$D$13,0)</f>
        <v>0</v>
      </c>
      <c r="Q322" s="17"/>
      <c r="U322" s="16" t="str">
        <f aca="false">IF($D322="","",IF(ISNA(MATCH($B322,Cost!$H$5:$H$11,0)),"CHECK GAS TYPE",IF(OR($C322&lt;10,$C322&gt;150),"CHECK PRESSURE: outside 10-150 psi table",IF(OR($D322&lt;1,$D322&gt;120),"CHECK dB: outside 1-120 table",IF(ISNA(MATCH($C322,'Flow Curves'!$A$5:$A$11,0)),"INTERPOLATED between curves","Table curve")))))</f>
        <v/>
      </c>
      <c r="W322" s="2" t="str">
        <f aca="false">IF(OR($D322="",$C322=""),"",MATCH(MAX(10,MIN(150,$C322)),'Flow Curves'!$A$5:$A$11,1))</f>
        <v/>
      </c>
      <c r="X322" s="2" t="str">
        <f aca="false">IF($W322="","",MIN($W322+1,7))</f>
        <v/>
      </c>
      <c r="Y322" s="2" t="str">
        <f aca="false">IF($W322="","",INDEX('Flow Curves'!$B$5:$B$11,$W322)*POWER($D322,INDEX('Flow Curves'!$C$5:$C$11,$W322)))</f>
        <v/>
      </c>
      <c r="Z322" s="2" t="str">
        <f aca="false">IF($W322="","",INDEX('Flow Curves'!$B$5:$B$11,$X322)*POWER($D322,INDEX('Flow Curves'!$C$5:$C$11,$X322)))</f>
        <v/>
      </c>
    </row>
    <row r="323" customFormat="false" ht="15" hidden="false" customHeight="false" outlineLevel="0" collapsed="false">
      <c r="A323" s="16" t="n">
        <v>316</v>
      </c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8" t="n">
        <f aca="false">IF($O323=0,0,$O323*60*Cost!$D$16*Cost!$D$17*IFERROR(INDEX(Cost!$I$5:$I$11,MATCH($B323,Cost!$H$5:$H$11,0)),0)/Cost!$D$5)</f>
        <v>0</v>
      </c>
      <c r="O323" s="19" t="n">
        <f aca="false">IF($W323="",0,IF(INDEX('Flow Curves'!$A$5:$A$11,$X323)=INDEX('Flow Curves'!$A$5:$A$11,$W323),$Y323,$Y323+($Z323-$Y323)*(MAX(10,MIN(150,$C323))-INDEX('Flow Curves'!$A$5:$A$11,$W323))/(INDEX('Flow Curves'!$A$5:$A$11,$X323)-INDEX('Flow Curves'!$A$5:$A$11,$W323))))</f>
        <v>0</v>
      </c>
      <c r="P323" s="20" t="n">
        <f aca="false">IF(OR($B323="Air",$B323="Open Blow"),$O323*60*Cost!$D$16*Cost!$D$17/Cost!$D$5*Cost!$D$13,0)</f>
        <v>0</v>
      </c>
      <c r="Q323" s="17"/>
      <c r="U323" s="16" t="str">
        <f aca="false">IF($D323="","",IF(ISNA(MATCH($B323,Cost!$H$5:$H$11,0)),"CHECK GAS TYPE",IF(OR($C323&lt;10,$C323&gt;150),"CHECK PRESSURE: outside 10-150 psi table",IF(OR($D323&lt;1,$D323&gt;120),"CHECK dB: outside 1-120 table",IF(ISNA(MATCH($C323,'Flow Curves'!$A$5:$A$11,0)),"INTERPOLATED between curves","Table curve")))))</f>
        <v/>
      </c>
      <c r="W323" s="2" t="str">
        <f aca="false">IF(OR($D323="",$C323=""),"",MATCH(MAX(10,MIN(150,$C323)),'Flow Curves'!$A$5:$A$11,1))</f>
        <v/>
      </c>
      <c r="X323" s="2" t="str">
        <f aca="false">IF($W323="","",MIN($W323+1,7))</f>
        <v/>
      </c>
      <c r="Y323" s="2" t="str">
        <f aca="false">IF($W323="","",INDEX('Flow Curves'!$B$5:$B$11,$W323)*POWER($D323,INDEX('Flow Curves'!$C$5:$C$11,$W323)))</f>
        <v/>
      </c>
      <c r="Z323" s="2" t="str">
        <f aca="false">IF($W323="","",INDEX('Flow Curves'!$B$5:$B$11,$X323)*POWER($D323,INDEX('Flow Curves'!$C$5:$C$11,$X323)))</f>
        <v/>
      </c>
    </row>
    <row r="324" customFormat="false" ht="15" hidden="false" customHeight="false" outlineLevel="0" collapsed="false">
      <c r="A324" s="16" t="n">
        <v>317</v>
      </c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8" t="n">
        <f aca="false">IF($O324=0,0,$O324*60*Cost!$D$16*Cost!$D$17*IFERROR(INDEX(Cost!$I$5:$I$11,MATCH($B324,Cost!$H$5:$H$11,0)),0)/Cost!$D$5)</f>
        <v>0</v>
      </c>
      <c r="O324" s="19" t="n">
        <f aca="false">IF($W324="",0,IF(INDEX('Flow Curves'!$A$5:$A$11,$X324)=INDEX('Flow Curves'!$A$5:$A$11,$W324),$Y324,$Y324+($Z324-$Y324)*(MAX(10,MIN(150,$C324))-INDEX('Flow Curves'!$A$5:$A$11,$W324))/(INDEX('Flow Curves'!$A$5:$A$11,$X324)-INDEX('Flow Curves'!$A$5:$A$11,$W324))))</f>
        <v>0</v>
      </c>
      <c r="P324" s="20" t="n">
        <f aca="false">IF(OR($B324="Air",$B324="Open Blow"),$O324*60*Cost!$D$16*Cost!$D$17/Cost!$D$5*Cost!$D$13,0)</f>
        <v>0</v>
      </c>
      <c r="Q324" s="17"/>
      <c r="U324" s="16" t="str">
        <f aca="false">IF($D324="","",IF(ISNA(MATCH($B324,Cost!$H$5:$H$11,0)),"CHECK GAS TYPE",IF(OR($C324&lt;10,$C324&gt;150),"CHECK PRESSURE: outside 10-150 psi table",IF(OR($D324&lt;1,$D324&gt;120),"CHECK dB: outside 1-120 table",IF(ISNA(MATCH($C324,'Flow Curves'!$A$5:$A$11,0)),"INTERPOLATED between curves","Table curve")))))</f>
        <v/>
      </c>
      <c r="W324" s="2" t="str">
        <f aca="false">IF(OR($D324="",$C324=""),"",MATCH(MAX(10,MIN(150,$C324)),'Flow Curves'!$A$5:$A$11,1))</f>
        <v/>
      </c>
      <c r="X324" s="2" t="str">
        <f aca="false">IF($W324="","",MIN($W324+1,7))</f>
        <v/>
      </c>
      <c r="Y324" s="2" t="str">
        <f aca="false">IF($W324="","",INDEX('Flow Curves'!$B$5:$B$11,$W324)*POWER($D324,INDEX('Flow Curves'!$C$5:$C$11,$W324)))</f>
        <v/>
      </c>
      <c r="Z324" s="2" t="str">
        <f aca="false">IF($W324="","",INDEX('Flow Curves'!$B$5:$B$11,$X324)*POWER($D324,INDEX('Flow Curves'!$C$5:$C$11,$X324)))</f>
        <v/>
      </c>
    </row>
    <row r="325" customFormat="false" ht="15" hidden="false" customHeight="false" outlineLevel="0" collapsed="false">
      <c r="A325" s="16" t="n">
        <v>318</v>
      </c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8" t="n">
        <f aca="false">IF($O325=0,0,$O325*60*Cost!$D$16*Cost!$D$17*IFERROR(INDEX(Cost!$I$5:$I$11,MATCH($B325,Cost!$H$5:$H$11,0)),0)/Cost!$D$5)</f>
        <v>0</v>
      </c>
      <c r="O325" s="19" t="n">
        <f aca="false">IF($W325="",0,IF(INDEX('Flow Curves'!$A$5:$A$11,$X325)=INDEX('Flow Curves'!$A$5:$A$11,$W325),$Y325,$Y325+($Z325-$Y325)*(MAX(10,MIN(150,$C325))-INDEX('Flow Curves'!$A$5:$A$11,$W325))/(INDEX('Flow Curves'!$A$5:$A$11,$X325)-INDEX('Flow Curves'!$A$5:$A$11,$W325))))</f>
        <v>0</v>
      </c>
      <c r="P325" s="20" t="n">
        <f aca="false">IF(OR($B325="Air",$B325="Open Blow"),$O325*60*Cost!$D$16*Cost!$D$17/Cost!$D$5*Cost!$D$13,0)</f>
        <v>0</v>
      </c>
      <c r="Q325" s="17"/>
      <c r="U325" s="16" t="str">
        <f aca="false">IF($D325="","",IF(ISNA(MATCH($B325,Cost!$H$5:$H$11,0)),"CHECK GAS TYPE",IF(OR($C325&lt;10,$C325&gt;150),"CHECK PRESSURE: outside 10-150 psi table",IF(OR($D325&lt;1,$D325&gt;120),"CHECK dB: outside 1-120 table",IF(ISNA(MATCH($C325,'Flow Curves'!$A$5:$A$11,0)),"INTERPOLATED between curves","Table curve")))))</f>
        <v/>
      </c>
      <c r="W325" s="2" t="str">
        <f aca="false">IF(OR($D325="",$C325=""),"",MATCH(MAX(10,MIN(150,$C325)),'Flow Curves'!$A$5:$A$11,1))</f>
        <v/>
      </c>
      <c r="X325" s="2" t="str">
        <f aca="false">IF($W325="","",MIN($W325+1,7))</f>
        <v/>
      </c>
      <c r="Y325" s="2" t="str">
        <f aca="false">IF($W325="","",INDEX('Flow Curves'!$B$5:$B$11,$W325)*POWER($D325,INDEX('Flow Curves'!$C$5:$C$11,$W325)))</f>
        <v/>
      </c>
      <c r="Z325" s="2" t="str">
        <f aca="false">IF($W325="","",INDEX('Flow Curves'!$B$5:$B$11,$X325)*POWER($D325,INDEX('Flow Curves'!$C$5:$C$11,$X325)))</f>
        <v/>
      </c>
    </row>
    <row r="326" customFormat="false" ht="15" hidden="false" customHeight="false" outlineLevel="0" collapsed="false">
      <c r="A326" s="16" t="n">
        <v>319</v>
      </c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8" t="n">
        <f aca="false">IF($O326=0,0,$O326*60*Cost!$D$16*Cost!$D$17*IFERROR(INDEX(Cost!$I$5:$I$11,MATCH($B326,Cost!$H$5:$H$11,0)),0)/Cost!$D$5)</f>
        <v>0</v>
      </c>
      <c r="O326" s="19" t="n">
        <f aca="false">IF($W326="",0,IF(INDEX('Flow Curves'!$A$5:$A$11,$X326)=INDEX('Flow Curves'!$A$5:$A$11,$W326),$Y326,$Y326+($Z326-$Y326)*(MAX(10,MIN(150,$C326))-INDEX('Flow Curves'!$A$5:$A$11,$W326))/(INDEX('Flow Curves'!$A$5:$A$11,$X326)-INDEX('Flow Curves'!$A$5:$A$11,$W326))))</f>
        <v>0</v>
      </c>
      <c r="P326" s="20" t="n">
        <f aca="false">IF(OR($B326="Air",$B326="Open Blow"),$O326*60*Cost!$D$16*Cost!$D$17/Cost!$D$5*Cost!$D$13,0)</f>
        <v>0</v>
      </c>
      <c r="Q326" s="17"/>
      <c r="U326" s="16" t="str">
        <f aca="false">IF($D326="","",IF(ISNA(MATCH($B326,Cost!$H$5:$H$11,0)),"CHECK GAS TYPE",IF(OR($C326&lt;10,$C326&gt;150),"CHECK PRESSURE: outside 10-150 psi table",IF(OR($D326&lt;1,$D326&gt;120),"CHECK dB: outside 1-120 table",IF(ISNA(MATCH($C326,'Flow Curves'!$A$5:$A$11,0)),"INTERPOLATED between curves","Table curve")))))</f>
        <v/>
      </c>
      <c r="W326" s="2" t="str">
        <f aca="false">IF(OR($D326="",$C326=""),"",MATCH(MAX(10,MIN(150,$C326)),'Flow Curves'!$A$5:$A$11,1))</f>
        <v/>
      </c>
      <c r="X326" s="2" t="str">
        <f aca="false">IF($W326="","",MIN($W326+1,7))</f>
        <v/>
      </c>
      <c r="Y326" s="2" t="str">
        <f aca="false">IF($W326="","",INDEX('Flow Curves'!$B$5:$B$11,$W326)*POWER($D326,INDEX('Flow Curves'!$C$5:$C$11,$W326)))</f>
        <v/>
      </c>
      <c r="Z326" s="2" t="str">
        <f aca="false">IF($W326="","",INDEX('Flow Curves'!$B$5:$B$11,$X326)*POWER($D326,INDEX('Flow Curves'!$C$5:$C$11,$X326)))</f>
        <v/>
      </c>
    </row>
    <row r="327" customFormat="false" ht="15" hidden="false" customHeight="false" outlineLevel="0" collapsed="false">
      <c r="A327" s="16" t="n">
        <v>320</v>
      </c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8" t="n">
        <f aca="false">IF($O327=0,0,$O327*60*Cost!$D$16*Cost!$D$17*IFERROR(INDEX(Cost!$I$5:$I$11,MATCH($B327,Cost!$H$5:$H$11,0)),0)/Cost!$D$5)</f>
        <v>0</v>
      </c>
      <c r="O327" s="19" t="n">
        <f aca="false">IF($W327="",0,IF(INDEX('Flow Curves'!$A$5:$A$11,$X327)=INDEX('Flow Curves'!$A$5:$A$11,$W327),$Y327,$Y327+($Z327-$Y327)*(MAX(10,MIN(150,$C327))-INDEX('Flow Curves'!$A$5:$A$11,$W327))/(INDEX('Flow Curves'!$A$5:$A$11,$X327)-INDEX('Flow Curves'!$A$5:$A$11,$W327))))</f>
        <v>0</v>
      </c>
      <c r="P327" s="20" t="n">
        <f aca="false">IF(OR($B327="Air",$B327="Open Blow"),$O327*60*Cost!$D$16*Cost!$D$17/Cost!$D$5*Cost!$D$13,0)</f>
        <v>0</v>
      </c>
      <c r="Q327" s="17"/>
      <c r="U327" s="16" t="str">
        <f aca="false">IF($D327="","",IF(ISNA(MATCH($B327,Cost!$H$5:$H$11,0)),"CHECK GAS TYPE",IF(OR($C327&lt;10,$C327&gt;150),"CHECK PRESSURE: outside 10-150 psi table",IF(OR($D327&lt;1,$D327&gt;120),"CHECK dB: outside 1-120 table",IF(ISNA(MATCH($C327,'Flow Curves'!$A$5:$A$11,0)),"INTERPOLATED between curves","Table curve")))))</f>
        <v/>
      </c>
      <c r="W327" s="2" t="str">
        <f aca="false">IF(OR($D327="",$C327=""),"",MATCH(MAX(10,MIN(150,$C327)),'Flow Curves'!$A$5:$A$11,1))</f>
        <v/>
      </c>
      <c r="X327" s="2" t="str">
        <f aca="false">IF($W327="","",MIN($W327+1,7))</f>
        <v/>
      </c>
      <c r="Y327" s="2" t="str">
        <f aca="false">IF($W327="","",INDEX('Flow Curves'!$B$5:$B$11,$W327)*POWER($D327,INDEX('Flow Curves'!$C$5:$C$11,$W327)))</f>
        <v/>
      </c>
      <c r="Z327" s="2" t="str">
        <f aca="false">IF($W327="","",INDEX('Flow Curves'!$B$5:$B$11,$X327)*POWER($D327,INDEX('Flow Curves'!$C$5:$C$11,$X327)))</f>
        <v/>
      </c>
    </row>
    <row r="328" customFormat="false" ht="15" hidden="false" customHeight="false" outlineLevel="0" collapsed="false">
      <c r="A328" s="16" t="n">
        <v>321</v>
      </c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8" t="n">
        <f aca="false">IF($O328=0,0,$O328*60*Cost!$D$16*Cost!$D$17*IFERROR(INDEX(Cost!$I$5:$I$11,MATCH($B328,Cost!$H$5:$H$11,0)),0)/Cost!$D$5)</f>
        <v>0</v>
      </c>
      <c r="O328" s="19" t="n">
        <f aca="false">IF($W328="",0,IF(INDEX('Flow Curves'!$A$5:$A$11,$X328)=INDEX('Flow Curves'!$A$5:$A$11,$W328),$Y328,$Y328+($Z328-$Y328)*(MAX(10,MIN(150,$C328))-INDEX('Flow Curves'!$A$5:$A$11,$W328))/(INDEX('Flow Curves'!$A$5:$A$11,$X328)-INDEX('Flow Curves'!$A$5:$A$11,$W328))))</f>
        <v>0</v>
      </c>
      <c r="P328" s="20" t="n">
        <f aca="false">IF(OR($B328="Air",$B328="Open Blow"),$O328*60*Cost!$D$16*Cost!$D$17/Cost!$D$5*Cost!$D$13,0)</f>
        <v>0</v>
      </c>
      <c r="Q328" s="17"/>
      <c r="U328" s="16" t="str">
        <f aca="false">IF($D328="","",IF(ISNA(MATCH($B328,Cost!$H$5:$H$11,0)),"CHECK GAS TYPE",IF(OR($C328&lt;10,$C328&gt;150),"CHECK PRESSURE: outside 10-150 psi table",IF(OR($D328&lt;1,$D328&gt;120),"CHECK dB: outside 1-120 table",IF(ISNA(MATCH($C328,'Flow Curves'!$A$5:$A$11,0)),"INTERPOLATED between curves","Table curve")))))</f>
        <v/>
      </c>
      <c r="W328" s="2" t="str">
        <f aca="false">IF(OR($D328="",$C328=""),"",MATCH(MAX(10,MIN(150,$C328)),'Flow Curves'!$A$5:$A$11,1))</f>
        <v/>
      </c>
      <c r="X328" s="2" t="str">
        <f aca="false">IF($W328="","",MIN($W328+1,7))</f>
        <v/>
      </c>
      <c r="Y328" s="2" t="str">
        <f aca="false">IF($W328="","",INDEX('Flow Curves'!$B$5:$B$11,$W328)*POWER($D328,INDEX('Flow Curves'!$C$5:$C$11,$W328)))</f>
        <v/>
      </c>
      <c r="Z328" s="2" t="str">
        <f aca="false">IF($W328="","",INDEX('Flow Curves'!$B$5:$B$11,$X328)*POWER($D328,INDEX('Flow Curves'!$C$5:$C$11,$X328)))</f>
        <v/>
      </c>
    </row>
    <row r="329" customFormat="false" ht="15" hidden="false" customHeight="false" outlineLevel="0" collapsed="false">
      <c r="A329" s="16" t="n">
        <v>322</v>
      </c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8" t="n">
        <f aca="false">IF($O329=0,0,$O329*60*Cost!$D$16*Cost!$D$17*IFERROR(INDEX(Cost!$I$5:$I$11,MATCH($B329,Cost!$H$5:$H$11,0)),0)/Cost!$D$5)</f>
        <v>0</v>
      </c>
      <c r="O329" s="19" t="n">
        <f aca="false">IF($W329="",0,IF(INDEX('Flow Curves'!$A$5:$A$11,$X329)=INDEX('Flow Curves'!$A$5:$A$11,$W329),$Y329,$Y329+($Z329-$Y329)*(MAX(10,MIN(150,$C329))-INDEX('Flow Curves'!$A$5:$A$11,$W329))/(INDEX('Flow Curves'!$A$5:$A$11,$X329)-INDEX('Flow Curves'!$A$5:$A$11,$W329))))</f>
        <v>0</v>
      </c>
      <c r="P329" s="20" t="n">
        <f aca="false">IF(OR($B329="Air",$B329="Open Blow"),$O329*60*Cost!$D$16*Cost!$D$17/Cost!$D$5*Cost!$D$13,0)</f>
        <v>0</v>
      </c>
      <c r="Q329" s="17"/>
      <c r="U329" s="16" t="str">
        <f aca="false">IF($D329="","",IF(ISNA(MATCH($B329,Cost!$H$5:$H$11,0)),"CHECK GAS TYPE",IF(OR($C329&lt;10,$C329&gt;150),"CHECK PRESSURE: outside 10-150 psi table",IF(OR($D329&lt;1,$D329&gt;120),"CHECK dB: outside 1-120 table",IF(ISNA(MATCH($C329,'Flow Curves'!$A$5:$A$11,0)),"INTERPOLATED between curves","Table curve")))))</f>
        <v/>
      </c>
      <c r="W329" s="2" t="str">
        <f aca="false">IF(OR($D329="",$C329=""),"",MATCH(MAX(10,MIN(150,$C329)),'Flow Curves'!$A$5:$A$11,1))</f>
        <v/>
      </c>
      <c r="X329" s="2" t="str">
        <f aca="false">IF($W329="","",MIN($W329+1,7))</f>
        <v/>
      </c>
      <c r="Y329" s="2" t="str">
        <f aca="false">IF($W329="","",INDEX('Flow Curves'!$B$5:$B$11,$W329)*POWER($D329,INDEX('Flow Curves'!$C$5:$C$11,$W329)))</f>
        <v/>
      </c>
      <c r="Z329" s="2" t="str">
        <f aca="false">IF($W329="","",INDEX('Flow Curves'!$B$5:$B$11,$X329)*POWER($D329,INDEX('Flow Curves'!$C$5:$C$11,$X329)))</f>
        <v/>
      </c>
    </row>
    <row r="330" customFormat="false" ht="15" hidden="false" customHeight="false" outlineLevel="0" collapsed="false">
      <c r="A330" s="16" t="n">
        <v>323</v>
      </c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8" t="n">
        <f aca="false">IF($O330=0,0,$O330*60*Cost!$D$16*Cost!$D$17*IFERROR(INDEX(Cost!$I$5:$I$11,MATCH($B330,Cost!$H$5:$H$11,0)),0)/Cost!$D$5)</f>
        <v>0</v>
      </c>
      <c r="O330" s="19" t="n">
        <f aca="false">IF($W330="",0,IF(INDEX('Flow Curves'!$A$5:$A$11,$X330)=INDEX('Flow Curves'!$A$5:$A$11,$W330),$Y330,$Y330+($Z330-$Y330)*(MAX(10,MIN(150,$C330))-INDEX('Flow Curves'!$A$5:$A$11,$W330))/(INDEX('Flow Curves'!$A$5:$A$11,$X330)-INDEX('Flow Curves'!$A$5:$A$11,$W330))))</f>
        <v>0</v>
      </c>
      <c r="P330" s="20" t="n">
        <f aca="false">IF(OR($B330="Air",$B330="Open Blow"),$O330*60*Cost!$D$16*Cost!$D$17/Cost!$D$5*Cost!$D$13,0)</f>
        <v>0</v>
      </c>
      <c r="Q330" s="17"/>
      <c r="U330" s="16" t="str">
        <f aca="false">IF($D330="","",IF(ISNA(MATCH($B330,Cost!$H$5:$H$11,0)),"CHECK GAS TYPE",IF(OR($C330&lt;10,$C330&gt;150),"CHECK PRESSURE: outside 10-150 psi table",IF(OR($D330&lt;1,$D330&gt;120),"CHECK dB: outside 1-120 table",IF(ISNA(MATCH($C330,'Flow Curves'!$A$5:$A$11,0)),"INTERPOLATED between curves","Table curve")))))</f>
        <v/>
      </c>
      <c r="W330" s="2" t="str">
        <f aca="false">IF(OR($D330="",$C330=""),"",MATCH(MAX(10,MIN(150,$C330)),'Flow Curves'!$A$5:$A$11,1))</f>
        <v/>
      </c>
      <c r="X330" s="2" t="str">
        <f aca="false">IF($W330="","",MIN($W330+1,7))</f>
        <v/>
      </c>
      <c r="Y330" s="2" t="str">
        <f aca="false">IF($W330="","",INDEX('Flow Curves'!$B$5:$B$11,$W330)*POWER($D330,INDEX('Flow Curves'!$C$5:$C$11,$W330)))</f>
        <v/>
      </c>
      <c r="Z330" s="2" t="str">
        <f aca="false">IF($W330="","",INDEX('Flow Curves'!$B$5:$B$11,$X330)*POWER($D330,INDEX('Flow Curves'!$C$5:$C$11,$X330)))</f>
        <v/>
      </c>
    </row>
    <row r="331" customFormat="false" ht="15" hidden="false" customHeight="false" outlineLevel="0" collapsed="false">
      <c r="A331" s="16" t="n">
        <v>324</v>
      </c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8" t="n">
        <f aca="false">IF($O331=0,0,$O331*60*Cost!$D$16*Cost!$D$17*IFERROR(INDEX(Cost!$I$5:$I$11,MATCH($B331,Cost!$H$5:$H$11,0)),0)/Cost!$D$5)</f>
        <v>0</v>
      </c>
      <c r="O331" s="19" t="n">
        <f aca="false">IF($W331="",0,IF(INDEX('Flow Curves'!$A$5:$A$11,$X331)=INDEX('Flow Curves'!$A$5:$A$11,$W331),$Y331,$Y331+($Z331-$Y331)*(MAX(10,MIN(150,$C331))-INDEX('Flow Curves'!$A$5:$A$11,$W331))/(INDEX('Flow Curves'!$A$5:$A$11,$X331)-INDEX('Flow Curves'!$A$5:$A$11,$W331))))</f>
        <v>0</v>
      </c>
      <c r="P331" s="20" t="n">
        <f aca="false">IF(OR($B331="Air",$B331="Open Blow"),$O331*60*Cost!$D$16*Cost!$D$17/Cost!$D$5*Cost!$D$13,0)</f>
        <v>0</v>
      </c>
      <c r="Q331" s="17"/>
      <c r="U331" s="16" t="str">
        <f aca="false">IF($D331="","",IF(ISNA(MATCH($B331,Cost!$H$5:$H$11,0)),"CHECK GAS TYPE",IF(OR($C331&lt;10,$C331&gt;150),"CHECK PRESSURE: outside 10-150 psi table",IF(OR($D331&lt;1,$D331&gt;120),"CHECK dB: outside 1-120 table",IF(ISNA(MATCH($C331,'Flow Curves'!$A$5:$A$11,0)),"INTERPOLATED between curves","Table curve")))))</f>
        <v/>
      </c>
      <c r="W331" s="2" t="str">
        <f aca="false">IF(OR($D331="",$C331=""),"",MATCH(MAX(10,MIN(150,$C331)),'Flow Curves'!$A$5:$A$11,1))</f>
        <v/>
      </c>
      <c r="X331" s="2" t="str">
        <f aca="false">IF($W331="","",MIN($W331+1,7))</f>
        <v/>
      </c>
      <c r="Y331" s="2" t="str">
        <f aca="false">IF($W331="","",INDEX('Flow Curves'!$B$5:$B$11,$W331)*POWER($D331,INDEX('Flow Curves'!$C$5:$C$11,$W331)))</f>
        <v/>
      </c>
      <c r="Z331" s="2" t="str">
        <f aca="false">IF($W331="","",INDEX('Flow Curves'!$B$5:$B$11,$X331)*POWER($D331,INDEX('Flow Curves'!$C$5:$C$11,$X331)))</f>
        <v/>
      </c>
    </row>
    <row r="332" customFormat="false" ht="15" hidden="false" customHeight="false" outlineLevel="0" collapsed="false">
      <c r="A332" s="16" t="n">
        <v>325</v>
      </c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8" t="n">
        <f aca="false">IF($O332=0,0,$O332*60*Cost!$D$16*Cost!$D$17*IFERROR(INDEX(Cost!$I$5:$I$11,MATCH($B332,Cost!$H$5:$H$11,0)),0)/Cost!$D$5)</f>
        <v>0</v>
      </c>
      <c r="O332" s="19" t="n">
        <f aca="false">IF($W332="",0,IF(INDEX('Flow Curves'!$A$5:$A$11,$X332)=INDEX('Flow Curves'!$A$5:$A$11,$W332),$Y332,$Y332+($Z332-$Y332)*(MAX(10,MIN(150,$C332))-INDEX('Flow Curves'!$A$5:$A$11,$W332))/(INDEX('Flow Curves'!$A$5:$A$11,$X332)-INDEX('Flow Curves'!$A$5:$A$11,$W332))))</f>
        <v>0</v>
      </c>
      <c r="P332" s="20" t="n">
        <f aca="false">IF(OR($B332="Air",$B332="Open Blow"),$O332*60*Cost!$D$16*Cost!$D$17/Cost!$D$5*Cost!$D$13,0)</f>
        <v>0</v>
      </c>
      <c r="Q332" s="17"/>
      <c r="U332" s="16" t="str">
        <f aca="false">IF($D332="","",IF(ISNA(MATCH($B332,Cost!$H$5:$H$11,0)),"CHECK GAS TYPE",IF(OR($C332&lt;10,$C332&gt;150),"CHECK PRESSURE: outside 10-150 psi table",IF(OR($D332&lt;1,$D332&gt;120),"CHECK dB: outside 1-120 table",IF(ISNA(MATCH($C332,'Flow Curves'!$A$5:$A$11,0)),"INTERPOLATED between curves","Table curve")))))</f>
        <v/>
      </c>
      <c r="W332" s="2" t="str">
        <f aca="false">IF(OR($D332="",$C332=""),"",MATCH(MAX(10,MIN(150,$C332)),'Flow Curves'!$A$5:$A$11,1))</f>
        <v/>
      </c>
      <c r="X332" s="2" t="str">
        <f aca="false">IF($W332="","",MIN($W332+1,7))</f>
        <v/>
      </c>
      <c r="Y332" s="2" t="str">
        <f aca="false">IF($W332="","",INDEX('Flow Curves'!$B$5:$B$11,$W332)*POWER($D332,INDEX('Flow Curves'!$C$5:$C$11,$W332)))</f>
        <v/>
      </c>
      <c r="Z332" s="2" t="str">
        <f aca="false">IF($W332="","",INDEX('Flow Curves'!$B$5:$B$11,$X332)*POWER($D332,INDEX('Flow Curves'!$C$5:$C$11,$X332)))</f>
        <v/>
      </c>
    </row>
    <row r="333" customFormat="false" ht="15" hidden="false" customHeight="false" outlineLevel="0" collapsed="false">
      <c r="A333" s="16" t="n">
        <v>326</v>
      </c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8" t="n">
        <f aca="false">IF($O333=0,0,$O333*60*Cost!$D$16*Cost!$D$17*IFERROR(INDEX(Cost!$I$5:$I$11,MATCH($B333,Cost!$H$5:$H$11,0)),0)/Cost!$D$5)</f>
        <v>0</v>
      </c>
      <c r="O333" s="19" t="n">
        <f aca="false">IF($W333="",0,IF(INDEX('Flow Curves'!$A$5:$A$11,$X333)=INDEX('Flow Curves'!$A$5:$A$11,$W333),$Y333,$Y333+($Z333-$Y333)*(MAX(10,MIN(150,$C333))-INDEX('Flow Curves'!$A$5:$A$11,$W333))/(INDEX('Flow Curves'!$A$5:$A$11,$X333)-INDEX('Flow Curves'!$A$5:$A$11,$W333))))</f>
        <v>0</v>
      </c>
      <c r="P333" s="20" t="n">
        <f aca="false">IF(OR($B333="Air",$B333="Open Blow"),$O333*60*Cost!$D$16*Cost!$D$17/Cost!$D$5*Cost!$D$13,0)</f>
        <v>0</v>
      </c>
      <c r="Q333" s="17"/>
      <c r="U333" s="16" t="str">
        <f aca="false">IF($D333="","",IF(ISNA(MATCH($B333,Cost!$H$5:$H$11,0)),"CHECK GAS TYPE",IF(OR($C333&lt;10,$C333&gt;150),"CHECK PRESSURE: outside 10-150 psi table",IF(OR($D333&lt;1,$D333&gt;120),"CHECK dB: outside 1-120 table",IF(ISNA(MATCH($C333,'Flow Curves'!$A$5:$A$11,0)),"INTERPOLATED between curves","Table curve")))))</f>
        <v/>
      </c>
      <c r="W333" s="2" t="str">
        <f aca="false">IF(OR($D333="",$C333=""),"",MATCH(MAX(10,MIN(150,$C333)),'Flow Curves'!$A$5:$A$11,1))</f>
        <v/>
      </c>
      <c r="X333" s="2" t="str">
        <f aca="false">IF($W333="","",MIN($W333+1,7))</f>
        <v/>
      </c>
      <c r="Y333" s="2" t="str">
        <f aca="false">IF($W333="","",INDEX('Flow Curves'!$B$5:$B$11,$W333)*POWER($D333,INDEX('Flow Curves'!$C$5:$C$11,$W333)))</f>
        <v/>
      </c>
      <c r="Z333" s="2" t="str">
        <f aca="false">IF($W333="","",INDEX('Flow Curves'!$B$5:$B$11,$X333)*POWER($D333,INDEX('Flow Curves'!$C$5:$C$11,$X333)))</f>
        <v/>
      </c>
    </row>
    <row r="334" customFormat="false" ht="15" hidden="false" customHeight="false" outlineLevel="0" collapsed="false">
      <c r="A334" s="16" t="n">
        <v>327</v>
      </c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8" t="n">
        <f aca="false">IF($O334=0,0,$O334*60*Cost!$D$16*Cost!$D$17*IFERROR(INDEX(Cost!$I$5:$I$11,MATCH($B334,Cost!$H$5:$H$11,0)),0)/Cost!$D$5)</f>
        <v>0</v>
      </c>
      <c r="O334" s="19" t="n">
        <f aca="false">IF($W334="",0,IF(INDEX('Flow Curves'!$A$5:$A$11,$X334)=INDEX('Flow Curves'!$A$5:$A$11,$W334),$Y334,$Y334+($Z334-$Y334)*(MAX(10,MIN(150,$C334))-INDEX('Flow Curves'!$A$5:$A$11,$W334))/(INDEX('Flow Curves'!$A$5:$A$11,$X334)-INDEX('Flow Curves'!$A$5:$A$11,$W334))))</f>
        <v>0</v>
      </c>
      <c r="P334" s="20" t="n">
        <f aca="false">IF(OR($B334="Air",$B334="Open Blow"),$O334*60*Cost!$D$16*Cost!$D$17/Cost!$D$5*Cost!$D$13,0)</f>
        <v>0</v>
      </c>
      <c r="Q334" s="17"/>
      <c r="U334" s="16" t="str">
        <f aca="false">IF($D334="","",IF(ISNA(MATCH($B334,Cost!$H$5:$H$11,0)),"CHECK GAS TYPE",IF(OR($C334&lt;10,$C334&gt;150),"CHECK PRESSURE: outside 10-150 psi table",IF(OR($D334&lt;1,$D334&gt;120),"CHECK dB: outside 1-120 table",IF(ISNA(MATCH($C334,'Flow Curves'!$A$5:$A$11,0)),"INTERPOLATED between curves","Table curve")))))</f>
        <v/>
      </c>
      <c r="W334" s="2" t="str">
        <f aca="false">IF(OR($D334="",$C334=""),"",MATCH(MAX(10,MIN(150,$C334)),'Flow Curves'!$A$5:$A$11,1))</f>
        <v/>
      </c>
      <c r="X334" s="2" t="str">
        <f aca="false">IF($W334="","",MIN($W334+1,7))</f>
        <v/>
      </c>
      <c r="Y334" s="2" t="str">
        <f aca="false">IF($W334="","",INDEX('Flow Curves'!$B$5:$B$11,$W334)*POWER($D334,INDEX('Flow Curves'!$C$5:$C$11,$W334)))</f>
        <v/>
      </c>
      <c r="Z334" s="2" t="str">
        <f aca="false">IF($W334="","",INDEX('Flow Curves'!$B$5:$B$11,$X334)*POWER($D334,INDEX('Flow Curves'!$C$5:$C$11,$X334)))</f>
        <v/>
      </c>
    </row>
    <row r="335" customFormat="false" ht="15" hidden="false" customHeight="false" outlineLevel="0" collapsed="false">
      <c r="A335" s="16" t="n">
        <v>328</v>
      </c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8" t="n">
        <f aca="false">IF($O335=0,0,$O335*60*Cost!$D$16*Cost!$D$17*IFERROR(INDEX(Cost!$I$5:$I$11,MATCH($B335,Cost!$H$5:$H$11,0)),0)/Cost!$D$5)</f>
        <v>0</v>
      </c>
      <c r="O335" s="19" t="n">
        <f aca="false">IF($W335="",0,IF(INDEX('Flow Curves'!$A$5:$A$11,$X335)=INDEX('Flow Curves'!$A$5:$A$11,$W335),$Y335,$Y335+($Z335-$Y335)*(MAX(10,MIN(150,$C335))-INDEX('Flow Curves'!$A$5:$A$11,$W335))/(INDEX('Flow Curves'!$A$5:$A$11,$X335)-INDEX('Flow Curves'!$A$5:$A$11,$W335))))</f>
        <v>0</v>
      </c>
      <c r="P335" s="20" t="n">
        <f aca="false">IF(OR($B335="Air",$B335="Open Blow"),$O335*60*Cost!$D$16*Cost!$D$17/Cost!$D$5*Cost!$D$13,0)</f>
        <v>0</v>
      </c>
      <c r="Q335" s="17"/>
      <c r="U335" s="16" t="str">
        <f aca="false">IF($D335="","",IF(ISNA(MATCH($B335,Cost!$H$5:$H$11,0)),"CHECK GAS TYPE",IF(OR($C335&lt;10,$C335&gt;150),"CHECK PRESSURE: outside 10-150 psi table",IF(OR($D335&lt;1,$D335&gt;120),"CHECK dB: outside 1-120 table",IF(ISNA(MATCH($C335,'Flow Curves'!$A$5:$A$11,0)),"INTERPOLATED between curves","Table curve")))))</f>
        <v/>
      </c>
      <c r="W335" s="2" t="str">
        <f aca="false">IF(OR($D335="",$C335=""),"",MATCH(MAX(10,MIN(150,$C335)),'Flow Curves'!$A$5:$A$11,1))</f>
        <v/>
      </c>
      <c r="X335" s="2" t="str">
        <f aca="false">IF($W335="","",MIN($W335+1,7))</f>
        <v/>
      </c>
      <c r="Y335" s="2" t="str">
        <f aca="false">IF($W335="","",INDEX('Flow Curves'!$B$5:$B$11,$W335)*POWER($D335,INDEX('Flow Curves'!$C$5:$C$11,$W335)))</f>
        <v/>
      </c>
      <c r="Z335" s="2" t="str">
        <f aca="false">IF($W335="","",INDEX('Flow Curves'!$B$5:$B$11,$X335)*POWER($D335,INDEX('Flow Curves'!$C$5:$C$11,$X335)))</f>
        <v/>
      </c>
    </row>
    <row r="336" customFormat="false" ht="15" hidden="false" customHeight="false" outlineLevel="0" collapsed="false">
      <c r="A336" s="16" t="n">
        <v>329</v>
      </c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8" t="n">
        <f aca="false">IF($O336=0,0,$O336*60*Cost!$D$16*Cost!$D$17*IFERROR(INDEX(Cost!$I$5:$I$11,MATCH($B336,Cost!$H$5:$H$11,0)),0)/Cost!$D$5)</f>
        <v>0</v>
      </c>
      <c r="O336" s="19" t="n">
        <f aca="false">IF($W336="",0,IF(INDEX('Flow Curves'!$A$5:$A$11,$X336)=INDEX('Flow Curves'!$A$5:$A$11,$W336),$Y336,$Y336+($Z336-$Y336)*(MAX(10,MIN(150,$C336))-INDEX('Flow Curves'!$A$5:$A$11,$W336))/(INDEX('Flow Curves'!$A$5:$A$11,$X336)-INDEX('Flow Curves'!$A$5:$A$11,$W336))))</f>
        <v>0</v>
      </c>
      <c r="P336" s="20" t="n">
        <f aca="false">IF(OR($B336="Air",$B336="Open Blow"),$O336*60*Cost!$D$16*Cost!$D$17/Cost!$D$5*Cost!$D$13,0)</f>
        <v>0</v>
      </c>
      <c r="Q336" s="17"/>
      <c r="U336" s="16" t="str">
        <f aca="false">IF($D336="","",IF(ISNA(MATCH($B336,Cost!$H$5:$H$11,0)),"CHECK GAS TYPE",IF(OR($C336&lt;10,$C336&gt;150),"CHECK PRESSURE: outside 10-150 psi table",IF(OR($D336&lt;1,$D336&gt;120),"CHECK dB: outside 1-120 table",IF(ISNA(MATCH($C336,'Flow Curves'!$A$5:$A$11,0)),"INTERPOLATED between curves","Table curve")))))</f>
        <v/>
      </c>
      <c r="W336" s="2" t="str">
        <f aca="false">IF(OR($D336="",$C336=""),"",MATCH(MAX(10,MIN(150,$C336)),'Flow Curves'!$A$5:$A$11,1))</f>
        <v/>
      </c>
      <c r="X336" s="2" t="str">
        <f aca="false">IF($W336="","",MIN($W336+1,7))</f>
        <v/>
      </c>
      <c r="Y336" s="2" t="str">
        <f aca="false">IF($W336="","",INDEX('Flow Curves'!$B$5:$B$11,$W336)*POWER($D336,INDEX('Flow Curves'!$C$5:$C$11,$W336)))</f>
        <v/>
      </c>
      <c r="Z336" s="2" t="str">
        <f aca="false">IF($W336="","",INDEX('Flow Curves'!$B$5:$B$11,$X336)*POWER($D336,INDEX('Flow Curves'!$C$5:$C$11,$X336)))</f>
        <v/>
      </c>
    </row>
    <row r="337" customFormat="false" ht="15" hidden="false" customHeight="false" outlineLevel="0" collapsed="false">
      <c r="A337" s="16" t="n">
        <v>330</v>
      </c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8" t="n">
        <f aca="false">IF($O337=0,0,$O337*60*Cost!$D$16*Cost!$D$17*IFERROR(INDEX(Cost!$I$5:$I$11,MATCH($B337,Cost!$H$5:$H$11,0)),0)/Cost!$D$5)</f>
        <v>0</v>
      </c>
      <c r="O337" s="19" t="n">
        <f aca="false">IF($W337="",0,IF(INDEX('Flow Curves'!$A$5:$A$11,$X337)=INDEX('Flow Curves'!$A$5:$A$11,$W337),$Y337,$Y337+($Z337-$Y337)*(MAX(10,MIN(150,$C337))-INDEX('Flow Curves'!$A$5:$A$11,$W337))/(INDEX('Flow Curves'!$A$5:$A$11,$X337)-INDEX('Flow Curves'!$A$5:$A$11,$W337))))</f>
        <v>0</v>
      </c>
      <c r="P337" s="20" t="n">
        <f aca="false">IF(OR($B337="Air",$B337="Open Blow"),$O337*60*Cost!$D$16*Cost!$D$17/Cost!$D$5*Cost!$D$13,0)</f>
        <v>0</v>
      </c>
      <c r="Q337" s="17"/>
      <c r="U337" s="16" t="str">
        <f aca="false">IF($D337="","",IF(ISNA(MATCH($B337,Cost!$H$5:$H$11,0)),"CHECK GAS TYPE",IF(OR($C337&lt;10,$C337&gt;150),"CHECK PRESSURE: outside 10-150 psi table",IF(OR($D337&lt;1,$D337&gt;120),"CHECK dB: outside 1-120 table",IF(ISNA(MATCH($C337,'Flow Curves'!$A$5:$A$11,0)),"INTERPOLATED between curves","Table curve")))))</f>
        <v/>
      </c>
      <c r="W337" s="2" t="str">
        <f aca="false">IF(OR($D337="",$C337=""),"",MATCH(MAX(10,MIN(150,$C337)),'Flow Curves'!$A$5:$A$11,1))</f>
        <v/>
      </c>
      <c r="X337" s="2" t="str">
        <f aca="false">IF($W337="","",MIN($W337+1,7))</f>
        <v/>
      </c>
      <c r="Y337" s="2" t="str">
        <f aca="false">IF($W337="","",INDEX('Flow Curves'!$B$5:$B$11,$W337)*POWER($D337,INDEX('Flow Curves'!$C$5:$C$11,$W337)))</f>
        <v/>
      </c>
      <c r="Z337" s="2" t="str">
        <f aca="false">IF($W337="","",INDEX('Flow Curves'!$B$5:$B$11,$X337)*POWER($D337,INDEX('Flow Curves'!$C$5:$C$11,$X337)))</f>
        <v/>
      </c>
    </row>
    <row r="338" customFormat="false" ht="15" hidden="false" customHeight="false" outlineLevel="0" collapsed="false">
      <c r="A338" s="16" t="n">
        <v>331</v>
      </c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8" t="n">
        <f aca="false">IF($O338=0,0,$O338*60*Cost!$D$16*Cost!$D$17*IFERROR(INDEX(Cost!$I$5:$I$11,MATCH($B338,Cost!$H$5:$H$11,0)),0)/Cost!$D$5)</f>
        <v>0</v>
      </c>
      <c r="O338" s="19" t="n">
        <f aca="false">IF($W338="",0,IF(INDEX('Flow Curves'!$A$5:$A$11,$X338)=INDEX('Flow Curves'!$A$5:$A$11,$W338),$Y338,$Y338+($Z338-$Y338)*(MAX(10,MIN(150,$C338))-INDEX('Flow Curves'!$A$5:$A$11,$W338))/(INDEX('Flow Curves'!$A$5:$A$11,$X338)-INDEX('Flow Curves'!$A$5:$A$11,$W338))))</f>
        <v>0</v>
      </c>
      <c r="P338" s="20" t="n">
        <f aca="false">IF(OR($B338="Air",$B338="Open Blow"),$O338*60*Cost!$D$16*Cost!$D$17/Cost!$D$5*Cost!$D$13,0)</f>
        <v>0</v>
      </c>
      <c r="Q338" s="17"/>
      <c r="U338" s="16" t="str">
        <f aca="false">IF($D338="","",IF(ISNA(MATCH($B338,Cost!$H$5:$H$11,0)),"CHECK GAS TYPE",IF(OR($C338&lt;10,$C338&gt;150),"CHECK PRESSURE: outside 10-150 psi table",IF(OR($D338&lt;1,$D338&gt;120),"CHECK dB: outside 1-120 table",IF(ISNA(MATCH($C338,'Flow Curves'!$A$5:$A$11,0)),"INTERPOLATED between curves","Table curve")))))</f>
        <v/>
      </c>
      <c r="W338" s="2" t="str">
        <f aca="false">IF(OR($D338="",$C338=""),"",MATCH(MAX(10,MIN(150,$C338)),'Flow Curves'!$A$5:$A$11,1))</f>
        <v/>
      </c>
      <c r="X338" s="2" t="str">
        <f aca="false">IF($W338="","",MIN($W338+1,7))</f>
        <v/>
      </c>
      <c r="Y338" s="2" t="str">
        <f aca="false">IF($W338="","",INDEX('Flow Curves'!$B$5:$B$11,$W338)*POWER($D338,INDEX('Flow Curves'!$C$5:$C$11,$W338)))</f>
        <v/>
      </c>
      <c r="Z338" s="2" t="str">
        <f aca="false">IF($W338="","",INDEX('Flow Curves'!$B$5:$B$11,$X338)*POWER($D338,INDEX('Flow Curves'!$C$5:$C$11,$X338)))</f>
        <v/>
      </c>
    </row>
    <row r="339" customFormat="false" ht="15" hidden="false" customHeight="false" outlineLevel="0" collapsed="false">
      <c r="A339" s="16" t="n">
        <v>332</v>
      </c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8" t="n">
        <f aca="false">IF($O339=0,0,$O339*60*Cost!$D$16*Cost!$D$17*IFERROR(INDEX(Cost!$I$5:$I$11,MATCH($B339,Cost!$H$5:$H$11,0)),0)/Cost!$D$5)</f>
        <v>0</v>
      </c>
      <c r="O339" s="19" t="n">
        <f aca="false">IF($W339="",0,IF(INDEX('Flow Curves'!$A$5:$A$11,$X339)=INDEX('Flow Curves'!$A$5:$A$11,$W339),$Y339,$Y339+($Z339-$Y339)*(MAX(10,MIN(150,$C339))-INDEX('Flow Curves'!$A$5:$A$11,$W339))/(INDEX('Flow Curves'!$A$5:$A$11,$X339)-INDEX('Flow Curves'!$A$5:$A$11,$W339))))</f>
        <v>0</v>
      </c>
      <c r="P339" s="20" t="n">
        <f aca="false">IF(OR($B339="Air",$B339="Open Blow"),$O339*60*Cost!$D$16*Cost!$D$17/Cost!$D$5*Cost!$D$13,0)</f>
        <v>0</v>
      </c>
      <c r="Q339" s="17"/>
      <c r="U339" s="16" t="str">
        <f aca="false">IF($D339="","",IF(ISNA(MATCH($B339,Cost!$H$5:$H$11,0)),"CHECK GAS TYPE",IF(OR($C339&lt;10,$C339&gt;150),"CHECK PRESSURE: outside 10-150 psi table",IF(OR($D339&lt;1,$D339&gt;120),"CHECK dB: outside 1-120 table",IF(ISNA(MATCH($C339,'Flow Curves'!$A$5:$A$11,0)),"INTERPOLATED between curves","Table curve")))))</f>
        <v/>
      </c>
      <c r="W339" s="2" t="str">
        <f aca="false">IF(OR($D339="",$C339=""),"",MATCH(MAX(10,MIN(150,$C339)),'Flow Curves'!$A$5:$A$11,1))</f>
        <v/>
      </c>
      <c r="X339" s="2" t="str">
        <f aca="false">IF($W339="","",MIN($W339+1,7))</f>
        <v/>
      </c>
      <c r="Y339" s="2" t="str">
        <f aca="false">IF($W339="","",INDEX('Flow Curves'!$B$5:$B$11,$W339)*POWER($D339,INDEX('Flow Curves'!$C$5:$C$11,$W339)))</f>
        <v/>
      </c>
      <c r="Z339" s="2" t="str">
        <f aca="false">IF($W339="","",INDEX('Flow Curves'!$B$5:$B$11,$X339)*POWER($D339,INDEX('Flow Curves'!$C$5:$C$11,$X339)))</f>
        <v/>
      </c>
    </row>
    <row r="340" customFormat="false" ht="15" hidden="false" customHeight="false" outlineLevel="0" collapsed="false">
      <c r="A340" s="16" t="n">
        <v>333</v>
      </c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8" t="n">
        <f aca="false">IF($O340=0,0,$O340*60*Cost!$D$16*Cost!$D$17*IFERROR(INDEX(Cost!$I$5:$I$11,MATCH($B340,Cost!$H$5:$H$11,0)),0)/Cost!$D$5)</f>
        <v>0</v>
      </c>
      <c r="O340" s="19" t="n">
        <f aca="false">IF($W340="",0,IF(INDEX('Flow Curves'!$A$5:$A$11,$X340)=INDEX('Flow Curves'!$A$5:$A$11,$W340),$Y340,$Y340+($Z340-$Y340)*(MAX(10,MIN(150,$C340))-INDEX('Flow Curves'!$A$5:$A$11,$W340))/(INDEX('Flow Curves'!$A$5:$A$11,$X340)-INDEX('Flow Curves'!$A$5:$A$11,$W340))))</f>
        <v>0</v>
      </c>
      <c r="P340" s="20" t="n">
        <f aca="false">IF(OR($B340="Air",$B340="Open Blow"),$O340*60*Cost!$D$16*Cost!$D$17/Cost!$D$5*Cost!$D$13,0)</f>
        <v>0</v>
      </c>
      <c r="Q340" s="17"/>
      <c r="U340" s="16" t="str">
        <f aca="false">IF($D340="","",IF(ISNA(MATCH($B340,Cost!$H$5:$H$11,0)),"CHECK GAS TYPE",IF(OR($C340&lt;10,$C340&gt;150),"CHECK PRESSURE: outside 10-150 psi table",IF(OR($D340&lt;1,$D340&gt;120),"CHECK dB: outside 1-120 table",IF(ISNA(MATCH($C340,'Flow Curves'!$A$5:$A$11,0)),"INTERPOLATED between curves","Table curve")))))</f>
        <v/>
      </c>
      <c r="W340" s="2" t="str">
        <f aca="false">IF(OR($D340="",$C340=""),"",MATCH(MAX(10,MIN(150,$C340)),'Flow Curves'!$A$5:$A$11,1))</f>
        <v/>
      </c>
      <c r="X340" s="2" t="str">
        <f aca="false">IF($W340="","",MIN($W340+1,7))</f>
        <v/>
      </c>
      <c r="Y340" s="2" t="str">
        <f aca="false">IF($W340="","",INDEX('Flow Curves'!$B$5:$B$11,$W340)*POWER($D340,INDEX('Flow Curves'!$C$5:$C$11,$W340)))</f>
        <v/>
      </c>
      <c r="Z340" s="2" t="str">
        <f aca="false">IF($W340="","",INDEX('Flow Curves'!$B$5:$B$11,$X340)*POWER($D340,INDEX('Flow Curves'!$C$5:$C$11,$X340)))</f>
        <v/>
      </c>
    </row>
    <row r="341" customFormat="false" ht="15" hidden="false" customHeight="false" outlineLevel="0" collapsed="false">
      <c r="A341" s="16" t="n">
        <v>334</v>
      </c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8" t="n">
        <f aca="false">IF($O341=0,0,$O341*60*Cost!$D$16*Cost!$D$17*IFERROR(INDEX(Cost!$I$5:$I$11,MATCH($B341,Cost!$H$5:$H$11,0)),0)/Cost!$D$5)</f>
        <v>0</v>
      </c>
      <c r="O341" s="19" t="n">
        <f aca="false">IF($W341="",0,IF(INDEX('Flow Curves'!$A$5:$A$11,$X341)=INDEX('Flow Curves'!$A$5:$A$11,$W341),$Y341,$Y341+($Z341-$Y341)*(MAX(10,MIN(150,$C341))-INDEX('Flow Curves'!$A$5:$A$11,$W341))/(INDEX('Flow Curves'!$A$5:$A$11,$X341)-INDEX('Flow Curves'!$A$5:$A$11,$W341))))</f>
        <v>0</v>
      </c>
      <c r="P341" s="20" t="n">
        <f aca="false">IF(OR($B341="Air",$B341="Open Blow"),$O341*60*Cost!$D$16*Cost!$D$17/Cost!$D$5*Cost!$D$13,0)</f>
        <v>0</v>
      </c>
      <c r="Q341" s="17"/>
      <c r="U341" s="16" t="str">
        <f aca="false">IF($D341="","",IF(ISNA(MATCH($B341,Cost!$H$5:$H$11,0)),"CHECK GAS TYPE",IF(OR($C341&lt;10,$C341&gt;150),"CHECK PRESSURE: outside 10-150 psi table",IF(OR($D341&lt;1,$D341&gt;120),"CHECK dB: outside 1-120 table",IF(ISNA(MATCH($C341,'Flow Curves'!$A$5:$A$11,0)),"INTERPOLATED between curves","Table curve")))))</f>
        <v/>
      </c>
      <c r="W341" s="2" t="str">
        <f aca="false">IF(OR($D341="",$C341=""),"",MATCH(MAX(10,MIN(150,$C341)),'Flow Curves'!$A$5:$A$11,1))</f>
        <v/>
      </c>
      <c r="X341" s="2" t="str">
        <f aca="false">IF($W341="","",MIN($W341+1,7))</f>
        <v/>
      </c>
      <c r="Y341" s="2" t="str">
        <f aca="false">IF($W341="","",INDEX('Flow Curves'!$B$5:$B$11,$W341)*POWER($D341,INDEX('Flow Curves'!$C$5:$C$11,$W341)))</f>
        <v/>
      </c>
      <c r="Z341" s="2" t="str">
        <f aca="false">IF($W341="","",INDEX('Flow Curves'!$B$5:$B$11,$X341)*POWER($D341,INDEX('Flow Curves'!$C$5:$C$11,$X341)))</f>
        <v/>
      </c>
    </row>
    <row r="342" customFormat="false" ht="15" hidden="false" customHeight="false" outlineLevel="0" collapsed="false">
      <c r="A342" s="16" t="n">
        <v>335</v>
      </c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8" t="n">
        <f aca="false">IF($O342=0,0,$O342*60*Cost!$D$16*Cost!$D$17*IFERROR(INDEX(Cost!$I$5:$I$11,MATCH($B342,Cost!$H$5:$H$11,0)),0)/Cost!$D$5)</f>
        <v>0</v>
      </c>
      <c r="O342" s="19" t="n">
        <f aca="false">IF($W342="",0,IF(INDEX('Flow Curves'!$A$5:$A$11,$X342)=INDEX('Flow Curves'!$A$5:$A$11,$W342),$Y342,$Y342+($Z342-$Y342)*(MAX(10,MIN(150,$C342))-INDEX('Flow Curves'!$A$5:$A$11,$W342))/(INDEX('Flow Curves'!$A$5:$A$11,$X342)-INDEX('Flow Curves'!$A$5:$A$11,$W342))))</f>
        <v>0</v>
      </c>
      <c r="P342" s="20" t="n">
        <f aca="false">IF(OR($B342="Air",$B342="Open Blow"),$O342*60*Cost!$D$16*Cost!$D$17/Cost!$D$5*Cost!$D$13,0)</f>
        <v>0</v>
      </c>
      <c r="Q342" s="17"/>
      <c r="U342" s="16" t="str">
        <f aca="false">IF($D342="","",IF(ISNA(MATCH($B342,Cost!$H$5:$H$11,0)),"CHECK GAS TYPE",IF(OR($C342&lt;10,$C342&gt;150),"CHECK PRESSURE: outside 10-150 psi table",IF(OR($D342&lt;1,$D342&gt;120),"CHECK dB: outside 1-120 table",IF(ISNA(MATCH($C342,'Flow Curves'!$A$5:$A$11,0)),"INTERPOLATED between curves","Table curve")))))</f>
        <v/>
      </c>
      <c r="W342" s="2" t="str">
        <f aca="false">IF(OR($D342="",$C342=""),"",MATCH(MAX(10,MIN(150,$C342)),'Flow Curves'!$A$5:$A$11,1))</f>
        <v/>
      </c>
      <c r="X342" s="2" t="str">
        <f aca="false">IF($W342="","",MIN($W342+1,7))</f>
        <v/>
      </c>
      <c r="Y342" s="2" t="str">
        <f aca="false">IF($W342="","",INDEX('Flow Curves'!$B$5:$B$11,$W342)*POWER($D342,INDEX('Flow Curves'!$C$5:$C$11,$W342)))</f>
        <v/>
      </c>
      <c r="Z342" s="2" t="str">
        <f aca="false">IF($W342="","",INDEX('Flow Curves'!$B$5:$B$11,$X342)*POWER($D342,INDEX('Flow Curves'!$C$5:$C$11,$X342)))</f>
        <v/>
      </c>
    </row>
    <row r="343" customFormat="false" ht="15" hidden="false" customHeight="false" outlineLevel="0" collapsed="false">
      <c r="A343" s="16" t="n">
        <v>336</v>
      </c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8" t="n">
        <f aca="false">IF($O343=0,0,$O343*60*Cost!$D$16*Cost!$D$17*IFERROR(INDEX(Cost!$I$5:$I$11,MATCH($B343,Cost!$H$5:$H$11,0)),0)/Cost!$D$5)</f>
        <v>0</v>
      </c>
      <c r="O343" s="19" t="n">
        <f aca="false">IF($W343="",0,IF(INDEX('Flow Curves'!$A$5:$A$11,$X343)=INDEX('Flow Curves'!$A$5:$A$11,$W343),$Y343,$Y343+($Z343-$Y343)*(MAX(10,MIN(150,$C343))-INDEX('Flow Curves'!$A$5:$A$11,$W343))/(INDEX('Flow Curves'!$A$5:$A$11,$X343)-INDEX('Flow Curves'!$A$5:$A$11,$W343))))</f>
        <v>0</v>
      </c>
      <c r="P343" s="20" t="n">
        <f aca="false">IF(OR($B343="Air",$B343="Open Blow"),$O343*60*Cost!$D$16*Cost!$D$17/Cost!$D$5*Cost!$D$13,0)</f>
        <v>0</v>
      </c>
      <c r="Q343" s="17"/>
      <c r="U343" s="16" t="str">
        <f aca="false">IF($D343="","",IF(ISNA(MATCH($B343,Cost!$H$5:$H$11,0)),"CHECK GAS TYPE",IF(OR($C343&lt;10,$C343&gt;150),"CHECK PRESSURE: outside 10-150 psi table",IF(OR($D343&lt;1,$D343&gt;120),"CHECK dB: outside 1-120 table",IF(ISNA(MATCH($C343,'Flow Curves'!$A$5:$A$11,0)),"INTERPOLATED between curves","Table curve")))))</f>
        <v/>
      </c>
      <c r="W343" s="2" t="str">
        <f aca="false">IF(OR($D343="",$C343=""),"",MATCH(MAX(10,MIN(150,$C343)),'Flow Curves'!$A$5:$A$11,1))</f>
        <v/>
      </c>
      <c r="X343" s="2" t="str">
        <f aca="false">IF($W343="","",MIN($W343+1,7))</f>
        <v/>
      </c>
      <c r="Y343" s="2" t="str">
        <f aca="false">IF($W343="","",INDEX('Flow Curves'!$B$5:$B$11,$W343)*POWER($D343,INDEX('Flow Curves'!$C$5:$C$11,$W343)))</f>
        <v/>
      </c>
      <c r="Z343" s="2" t="str">
        <f aca="false">IF($W343="","",INDEX('Flow Curves'!$B$5:$B$11,$X343)*POWER($D343,INDEX('Flow Curves'!$C$5:$C$11,$X343)))</f>
        <v/>
      </c>
    </row>
    <row r="344" customFormat="false" ht="15" hidden="false" customHeight="false" outlineLevel="0" collapsed="false">
      <c r="A344" s="16" t="n">
        <v>337</v>
      </c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8" t="n">
        <f aca="false">IF($O344=0,0,$O344*60*Cost!$D$16*Cost!$D$17*IFERROR(INDEX(Cost!$I$5:$I$11,MATCH($B344,Cost!$H$5:$H$11,0)),0)/Cost!$D$5)</f>
        <v>0</v>
      </c>
      <c r="O344" s="19" t="n">
        <f aca="false">IF($W344="",0,IF(INDEX('Flow Curves'!$A$5:$A$11,$X344)=INDEX('Flow Curves'!$A$5:$A$11,$W344),$Y344,$Y344+($Z344-$Y344)*(MAX(10,MIN(150,$C344))-INDEX('Flow Curves'!$A$5:$A$11,$W344))/(INDEX('Flow Curves'!$A$5:$A$11,$X344)-INDEX('Flow Curves'!$A$5:$A$11,$W344))))</f>
        <v>0</v>
      </c>
      <c r="P344" s="20" t="n">
        <f aca="false">IF(OR($B344="Air",$B344="Open Blow"),$O344*60*Cost!$D$16*Cost!$D$17/Cost!$D$5*Cost!$D$13,0)</f>
        <v>0</v>
      </c>
      <c r="Q344" s="17"/>
      <c r="U344" s="16" t="str">
        <f aca="false">IF($D344="","",IF(ISNA(MATCH($B344,Cost!$H$5:$H$11,0)),"CHECK GAS TYPE",IF(OR($C344&lt;10,$C344&gt;150),"CHECK PRESSURE: outside 10-150 psi table",IF(OR($D344&lt;1,$D344&gt;120),"CHECK dB: outside 1-120 table",IF(ISNA(MATCH($C344,'Flow Curves'!$A$5:$A$11,0)),"INTERPOLATED between curves","Table curve")))))</f>
        <v/>
      </c>
      <c r="W344" s="2" t="str">
        <f aca="false">IF(OR($D344="",$C344=""),"",MATCH(MAX(10,MIN(150,$C344)),'Flow Curves'!$A$5:$A$11,1))</f>
        <v/>
      </c>
      <c r="X344" s="2" t="str">
        <f aca="false">IF($W344="","",MIN($W344+1,7))</f>
        <v/>
      </c>
      <c r="Y344" s="2" t="str">
        <f aca="false">IF($W344="","",INDEX('Flow Curves'!$B$5:$B$11,$W344)*POWER($D344,INDEX('Flow Curves'!$C$5:$C$11,$W344)))</f>
        <v/>
      </c>
      <c r="Z344" s="2" t="str">
        <f aca="false">IF($W344="","",INDEX('Flow Curves'!$B$5:$B$11,$X344)*POWER($D344,INDEX('Flow Curves'!$C$5:$C$11,$X344)))</f>
        <v/>
      </c>
    </row>
    <row r="345" customFormat="false" ht="15" hidden="false" customHeight="false" outlineLevel="0" collapsed="false">
      <c r="A345" s="16" t="n">
        <v>338</v>
      </c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8" t="n">
        <f aca="false">IF($O345=0,0,$O345*60*Cost!$D$16*Cost!$D$17*IFERROR(INDEX(Cost!$I$5:$I$11,MATCH($B345,Cost!$H$5:$H$11,0)),0)/Cost!$D$5)</f>
        <v>0</v>
      </c>
      <c r="O345" s="19" t="n">
        <f aca="false">IF($W345="",0,IF(INDEX('Flow Curves'!$A$5:$A$11,$X345)=INDEX('Flow Curves'!$A$5:$A$11,$W345),$Y345,$Y345+($Z345-$Y345)*(MAX(10,MIN(150,$C345))-INDEX('Flow Curves'!$A$5:$A$11,$W345))/(INDEX('Flow Curves'!$A$5:$A$11,$X345)-INDEX('Flow Curves'!$A$5:$A$11,$W345))))</f>
        <v>0</v>
      </c>
      <c r="P345" s="20" t="n">
        <f aca="false">IF(OR($B345="Air",$B345="Open Blow"),$O345*60*Cost!$D$16*Cost!$D$17/Cost!$D$5*Cost!$D$13,0)</f>
        <v>0</v>
      </c>
      <c r="Q345" s="17"/>
      <c r="U345" s="16" t="str">
        <f aca="false">IF($D345="","",IF(ISNA(MATCH($B345,Cost!$H$5:$H$11,0)),"CHECK GAS TYPE",IF(OR($C345&lt;10,$C345&gt;150),"CHECK PRESSURE: outside 10-150 psi table",IF(OR($D345&lt;1,$D345&gt;120),"CHECK dB: outside 1-120 table",IF(ISNA(MATCH($C345,'Flow Curves'!$A$5:$A$11,0)),"INTERPOLATED between curves","Table curve")))))</f>
        <v/>
      </c>
      <c r="W345" s="2" t="str">
        <f aca="false">IF(OR($D345="",$C345=""),"",MATCH(MAX(10,MIN(150,$C345)),'Flow Curves'!$A$5:$A$11,1))</f>
        <v/>
      </c>
      <c r="X345" s="2" t="str">
        <f aca="false">IF($W345="","",MIN($W345+1,7))</f>
        <v/>
      </c>
      <c r="Y345" s="2" t="str">
        <f aca="false">IF($W345="","",INDEX('Flow Curves'!$B$5:$B$11,$W345)*POWER($D345,INDEX('Flow Curves'!$C$5:$C$11,$W345)))</f>
        <v/>
      </c>
      <c r="Z345" s="2" t="str">
        <f aca="false">IF($W345="","",INDEX('Flow Curves'!$B$5:$B$11,$X345)*POWER($D345,INDEX('Flow Curves'!$C$5:$C$11,$X345)))</f>
        <v/>
      </c>
    </row>
    <row r="346" customFormat="false" ht="15" hidden="false" customHeight="false" outlineLevel="0" collapsed="false">
      <c r="A346" s="16" t="n">
        <v>339</v>
      </c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8" t="n">
        <f aca="false">IF($O346=0,0,$O346*60*Cost!$D$16*Cost!$D$17*IFERROR(INDEX(Cost!$I$5:$I$11,MATCH($B346,Cost!$H$5:$H$11,0)),0)/Cost!$D$5)</f>
        <v>0</v>
      </c>
      <c r="O346" s="19" t="n">
        <f aca="false">IF($W346="",0,IF(INDEX('Flow Curves'!$A$5:$A$11,$X346)=INDEX('Flow Curves'!$A$5:$A$11,$W346),$Y346,$Y346+($Z346-$Y346)*(MAX(10,MIN(150,$C346))-INDEX('Flow Curves'!$A$5:$A$11,$W346))/(INDEX('Flow Curves'!$A$5:$A$11,$X346)-INDEX('Flow Curves'!$A$5:$A$11,$W346))))</f>
        <v>0</v>
      </c>
      <c r="P346" s="20" t="n">
        <f aca="false">IF(OR($B346="Air",$B346="Open Blow"),$O346*60*Cost!$D$16*Cost!$D$17/Cost!$D$5*Cost!$D$13,0)</f>
        <v>0</v>
      </c>
      <c r="Q346" s="17"/>
      <c r="U346" s="16" t="str">
        <f aca="false">IF($D346="","",IF(ISNA(MATCH($B346,Cost!$H$5:$H$11,0)),"CHECK GAS TYPE",IF(OR($C346&lt;10,$C346&gt;150),"CHECK PRESSURE: outside 10-150 psi table",IF(OR($D346&lt;1,$D346&gt;120),"CHECK dB: outside 1-120 table",IF(ISNA(MATCH($C346,'Flow Curves'!$A$5:$A$11,0)),"INTERPOLATED between curves","Table curve")))))</f>
        <v/>
      </c>
      <c r="W346" s="2" t="str">
        <f aca="false">IF(OR($D346="",$C346=""),"",MATCH(MAX(10,MIN(150,$C346)),'Flow Curves'!$A$5:$A$11,1))</f>
        <v/>
      </c>
      <c r="X346" s="2" t="str">
        <f aca="false">IF($W346="","",MIN($W346+1,7))</f>
        <v/>
      </c>
      <c r="Y346" s="2" t="str">
        <f aca="false">IF($W346="","",INDEX('Flow Curves'!$B$5:$B$11,$W346)*POWER($D346,INDEX('Flow Curves'!$C$5:$C$11,$W346)))</f>
        <v/>
      </c>
      <c r="Z346" s="2" t="str">
        <f aca="false">IF($W346="","",INDEX('Flow Curves'!$B$5:$B$11,$X346)*POWER($D346,INDEX('Flow Curves'!$C$5:$C$11,$X346)))</f>
        <v/>
      </c>
    </row>
    <row r="347" customFormat="false" ht="15" hidden="false" customHeight="false" outlineLevel="0" collapsed="false">
      <c r="A347" s="16" t="n">
        <v>340</v>
      </c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8" t="n">
        <f aca="false">IF($O347=0,0,$O347*60*Cost!$D$16*Cost!$D$17*IFERROR(INDEX(Cost!$I$5:$I$11,MATCH($B347,Cost!$H$5:$H$11,0)),0)/Cost!$D$5)</f>
        <v>0</v>
      </c>
      <c r="O347" s="19" t="n">
        <f aca="false">IF($W347="",0,IF(INDEX('Flow Curves'!$A$5:$A$11,$X347)=INDEX('Flow Curves'!$A$5:$A$11,$W347),$Y347,$Y347+($Z347-$Y347)*(MAX(10,MIN(150,$C347))-INDEX('Flow Curves'!$A$5:$A$11,$W347))/(INDEX('Flow Curves'!$A$5:$A$11,$X347)-INDEX('Flow Curves'!$A$5:$A$11,$W347))))</f>
        <v>0</v>
      </c>
      <c r="P347" s="20" t="n">
        <f aca="false">IF(OR($B347="Air",$B347="Open Blow"),$O347*60*Cost!$D$16*Cost!$D$17/Cost!$D$5*Cost!$D$13,0)</f>
        <v>0</v>
      </c>
      <c r="Q347" s="17"/>
      <c r="U347" s="16" t="str">
        <f aca="false">IF($D347="","",IF(ISNA(MATCH($B347,Cost!$H$5:$H$11,0)),"CHECK GAS TYPE",IF(OR($C347&lt;10,$C347&gt;150),"CHECK PRESSURE: outside 10-150 psi table",IF(OR($D347&lt;1,$D347&gt;120),"CHECK dB: outside 1-120 table",IF(ISNA(MATCH($C347,'Flow Curves'!$A$5:$A$11,0)),"INTERPOLATED between curves","Table curve")))))</f>
        <v/>
      </c>
      <c r="W347" s="2" t="str">
        <f aca="false">IF(OR($D347="",$C347=""),"",MATCH(MAX(10,MIN(150,$C347)),'Flow Curves'!$A$5:$A$11,1))</f>
        <v/>
      </c>
      <c r="X347" s="2" t="str">
        <f aca="false">IF($W347="","",MIN($W347+1,7))</f>
        <v/>
      </c>
      <c r="Y347" s="2" t="str">
        <f aca="false">IF($W347="","",INDEX('Flow Curves'!$B$5:$B$11,$W347)*POWER($D347,INDEX('Flow Curves'!$C$5:$C$11,$W347)))</f>
        <v/>
      </c>
      <c r="Z347" s="2" t="str">
        <f aca="false">IF($W347="","",INDEX('Flow Curves'!$B$5:$B$11,$X347)*POWER($D347,INDEX('Flow Curves'!$C$5:$C$11,$X347)))</f>
        <v/>
      </c>
    </row>
    <row r="348" customFormat="false" ht="15" hidden="false" customHeight="false" outlineLevel="0" collapsed="false">
      <c r="A348" s="16" t="n">
        <v>341</v>
      </c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8" t="n">
        <f aca="false">IF($O348=0,0,$O348*60*Cost!$D$16*Cost!$D$17*IFERROR(INDEX(Cost!$I$5:$I$11,MATCH($B348,Cost!$H$5:$H$11,0)),0)/Cost!$D$5)</f>
        <v>0</v>
      </c>
      <c r="O348" s="19" t="n">
        <f aca="false">IF($W348="",0,IF(INDEX('Flow Curves'!$A$5:$A$11,$X348)=INDEX('Flow Curves'!$A$5:$A$11,$W348),$Y348,$Y348+($Z348-$Y348)*(MAX(10,MIN(150,$C348))-INDEX('Flow Curves'!$A$5:$A$11,$W348))/(INDEX('Flow Curves'!$A$5:$A$11,$X348)-INDEX('Flow Curves'!$A$5:$A$11,$W348))))</f>
        <v>0</v>
      </c>
      <c r="P348" s="20" t="n">
        <f aca="false">IF(OR($B348="Air",$B348="Open Blow"),$O348*60*Cost!$D$16*Cost!$D$17/Cost!$D$5*Cost!$D$13,0)</f>
        <v>0</v>
      </c>
      <c r="Q348" s="17"/>
      <c r="U348" s="16" t="str">
        <f aca="false">IF($D348="","",IF(ISNA(MATCH($B348,Cost!$H$5:$H$11,0)),"CHECK GAS TYPE",IF(OR($C348&lt;10,$C348&gt;150),"CHECK PRESSURE: outside 10-150 psi table",IF(OR($D348&lt;1,$D348&gt;120),"CHECK dB: outside 1-120 table",IF(ISNA(MATCH($C348,'Flow Curves'!$A$5:$A$11,0)),"INTERPOLATED between curves","Table curve")))))</f>
        <v/>
      </c>
      <c r="W348" s="2" t="str">
        <f aca="false">IF(OR($D348="",$C348=""),"",MATCH(MAX(10,MIN(150,$C348)),'Flow Curves'!$A$5:$A$11,1))</f>
        <v/>
      </c>
      <c r="X348" s="2" t="str">
        <f aca="false">IF($W348="","",MIN($W348+1,7))</f>
        <v/>
      </c>
      <c r="Y348" s="2" t="str">
        <f aca="false">IF($W348="","",INDEX('Flow Curves'!$B$5:$B$11,$W348)*POWER($D348,INDEX('Flow Curves'!$C$5:$C$11,$W348)))</f>
        <v/>
      </c>
      <c r="Z348" s="2" t="str">
        <f aca="false">IF($W348="","",INDEX('Flow Curves'!$B$5:$B$11,$X348)*POWER($D348,INDEX('Flow Curves'!$C$5:$C$11,$X348)))</f>
        <v/>
      </c>
    </row>
    <row r="349" customFormat="false" ht="15" hidden="false" customHeight="false" outlineLevel="0" collapsed="false">
      <c r="A349" s="16" t="n">
        <v>342</v>
      </c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8" t="n">
        <f aca="false">IF($O349=0,0,$O349*60*Cost!$D$16*Cost!$D$17*IFERROR(INDEX(Cost!$I$5:$I$11,MATCH($B349,Cost!$H$5:$H$11,0)),0)/Cost!$D$5)</f>
        <v>0</v>
      </c>
      <c r="O349" s="19" t="n">
        <f aca="false">IF($W349="",0,IF(INDEX('Flow Curves'!$A$5:$A$11,$X349)=INDEX('Flow Curves'!$A$5:$A$11,$W349),$Y349,$Y349+($Z349-$Y349)*(MAX(10,MIN(150,$C349))-INDEX('Flow Curves'!$A$5:$A$11,$W349))/(INDEX('Flow Curves'!$A$5:$A$11,$X349)-INDEX('Flow Curves'!$A$5:$A$11,$W349))))</f>
        <v>0</v>
      </c>
      <c r="P349" s="20" t="n">
        <f aca="false">IF(OR($B349="Air",$B349="Open Blow"),$O349*60*Cost!$D$16*Cost!$D$17/Cost!$D$5*Cost!$D$13,0)</f>
        <v>0</v>
      </c>
      <c r="Q349" s="17"/>
      <c r="U349" s="16" t="str">
        <f aca="false">IF($D349="","",IF(ISNA(MATCH($B349,Cost!$H$5:$H$11,0)),"CHECK GAS TYPE",IF(OR($C349&lt;10,$C349&gt;150),"CHECK PRESSURE: outside 10-150 psi table",IF(OR($D349&lt;1,$D349&gt;120),"CHECK dB: outside 1-120 table",IF(ISNA(MATCH($C349,'Flow Curves'!$A$5:$A$11,0)),"INTERPOLATED between curves","Table curve")))))</f>
        <v/>
      </c>
      <c r="W349" s="2" t="str">
        <f aca="false">IF(OR($D349="",$C349=""),"",MATCH(MAX(10,MIN(150,$C349)),'Flow Curves'!$A$5:$A$11,1))</f>
        <v/>
      </c>
      <c r="X349" s="2" t="str">
        <f aca="false">IF($W349="","",MIN($W349+1,7))</f>
        <v/>
      </c>
      <c r="Y349" s="2" t="str">
        <f aca="false">IF($W349="","",INDEX('Flow Curves'!$B$5:$B$11,$W349)*POWER($D349,INDEX('Flow Curves'!$C$5:$C$11,$W349)))</f>
        <v/>
      </c>
      <c r="Z349" s="2" t="str">
        <f aca="false">IF($W349="","",INDEX('Flow Curves'!$B$5:$B$11,$X349)*POWER($D349,INDEX('Flow Curves'!$C$5:$C$11,$X349)))</f>
        <v/>
      </c>
    </row>
    <row r="350" customFormat="false" ht="15" hidden="false" customHeight="false" outlineLevel="0" collapsed="false">
      <c r="A350" s="16" t="n">
        <v>343</v>
      </c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8" t="n">
        <f aca="false">IF($O350=0,0,$O350*60*Cost!$D$16*Cost!$D$17*IFERROR(INDEX(Cost!$I$5:$I$11,MATCH($B350,Cost!$H$5:$H$11,0)),0)/Cost!$D$5)</f>
        <v>0</v>
      </c>
      <c r="O350" s="19" t="n">
        <f aca="false">IF($W350="",0,IF(INDEX('Flow Curves'!$A$5:$A$11,$X350)=INDEX('Flow Curves'!$A$5:$A$11,$W350),$Y350,$Y350+($Z350-$Y350)*(MAX(10,MIN(150,$C350))-INDEX('Flow Curves'!$A$5:$A$11,$W350))/(INDEX('Flow Curves'!$A$5:$A$11,$X350)-INDEX('Flow Curves'!$A$5:$A$11,$W350))))</f>
        <v>0</v>
      </c>
      <c r="P350" s="20" t="n">
        <f aca="false">IF(OR($B350="Air",$B350="Open Blow"),$O350*60*Cost!$D$16*Cost!$D$17/Cost!$D$5*Cost!$D$13,0)</f>
        <v>0</v>
      </c>
      <c r="Q350" s="17"/>
      <c r="U350" s="16" t="str">
        <f aca="false">IF($D350="","",IF(ISNA(MATCH($B350,Cost!$H$5:$H$11,0)),"CHECK GAS TYPE",IF(OR($C350&lt;10,$C350&gt;150),"CHECK PRESSURE: outside 10-150 psi table",IF(OR($D350&lt;1,$D350&gt;120),"CHECK dB: outside 1-120 table",IF(ISNA(MATCH($C350,'Flow Curves'!$A$5:$A$11,0)),"INTERPOLATED between curves","Table curve")))))</f>
        <v/>
      </c>
      <c r="W350" s="2" t="str">
        <f aca="false">IF(OR($D350="",$C350=""),"",MATCH(MAX(10,MIN(150,$C350)),'Flow Curves'!$A$5:$A$11,1))</f>
        <v/>
      </c>
      <c r="X350" s="2" t="str">
        <f aca="false">IF($W350="","",MIN($W350+1,7))</f>
        <v/>
      </c>
      <c r="Y350" s="2" t="str">
        <f aca="false">IF($W350="","",INDEX('Flow Curves'!$B$5:$B$11,$W350)*POWER($D350,INDEX('Flow Curves'!$C$5:$C$11,$W350)))</f>
        <v/>
      </c>
      <c r="Z350" s="2" t="str">
        <f aca="false">IF($W350="","",INDEX('Flow Curves'!$B$5:$B$11,$X350)*POWER($D350,INDEX('Flow Curves'!$C$5:$C$11,$X350)))</f>
        <v/>
      </c>
    </row>
    <row r="351" customFormat="false" ht="15" hidden="false" customHeight="false" outlineLevel="0" collapsed="false">
      <c r="A351" s="16" t="n">
        <v>344</v>
      </c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8" t="n">
        <f aca="false">IF($O351=0,0,$O351*60*Cost!$D$16*Cost!$D$17*IFERROR(INDEX(Cost!$I$5:$I$11,MATCH($B351,Cost!$H$5:$H$11,0)),0)/Cost!$D$5)</f>
        <v>0</v>
      </c>
      <c r="O351" s="19" t="n">
        <f aca="false">IF($W351="",0,IF(INDEX('Flow Curves'!$A$5:$A$11,$X351)=INDEX('Flow Curves'!$A$5:$A$11,$W351),$Y351,$Y351+($Z351-$Y351)*(MAX(10,MIN(150,$C351))-INDEX('Flow Curves'!$A$5:$A$11,$W351))/(INDEX('Flow Curves'!$A$5:$A$11,$X351)-INDEX('Flow Curves'!$A$5:$A$11,$W351))))</f>
        <v>0</v>
      </c>
      <c r="P351" s="20" t="n">
        <f aca="false">IF(OR($B351="Air",$B351="Open Blow"),$O351*60*Cost!$D$16*Cost!$D$17/Cost!$D$5*Cost!$D$13,0)</f>
        <v>0</v>
      </c>
      <c r="Q351" s="17"/>
      <c r="U351" s="16" t="str">
        <f aca="false">IF($D351="","",IF(ISNA(MATCH($B351,Cost!$H$5:$H$11,0)),"CHECK GAS TYPE",IF(OR($C351&lt;10,$C351&gt;150),"CHECK PRESSURE: outside 10-150 psi table",IF(OR($D351&lt;1,$D351&gt;120),"CHECK dB: outside 1-120 table",IF(ISNA(MATCH($C351,'Flow Curves'!$A$5:$A$11,0)),"INTERPOLATED between curves","Table curve")))))</f>
        <v/>
      </c>
      <c r="W351" s="2" t="str">
        <f aca="false">IF(OR($D351="",$C351=""),"",MATCH(MAX(10,MIN(150,$C351)),'Flow Curves'!$A$5:$A$11,1))</f>
        <v/>
      </c>
      <c r="X351" s="2" t="str">
        <f aca="false">IF($W351="","",MIN($W351+1,7))</f>
        <v/>
      </c>
      <c r="Y351" s="2" t="str">
        <f aca="false">IF($W351="","",INDEX('Flow Curves'!$B$5:$B$11,$W351)*POWER($D351,INDEX('Flow Curves'!$C$5:$C$11,$W351)))</f>
        <v/>
      </c>
      <c r="Z351" s="2" t="str">
        <f aca="false">IF($W351="","",INDEX('Flow Curves'!$B$5:$B$11,$X351)*POWER($D351,INDEX('Flow Curves'!$C$5:$C$11,$X351)))</f>
        <v/>
      </c>
    </row>
    <row r="352" customFormat="false" ht="15" hidden="false" customHeight="false" outlineLevel="0" collapsed="false">
      <c r="A352" s="16" t="n">
        <v>345</v>
      </c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8" t="n">
        <f aca="false">IF($O352=0,0,$O352*60*Cost!$D$16*Cost!$D$17*IFERROR(INDEX(Cost!$I$5:$I$11,MATCH($B352,Cost!$H$5:$H$11,0)),0)/Cost!$D$5)</f>
        <v>0</v>
      </c>
      <c r="O352" s="19" t="n">
        <f aca="false">IF($W352="",0,IF(INDEX('Flow Curves'!$A$5:$A$11,$X352)=INDEX('Flow Curves'!$A$5:$A$11,$W352),$Y352,$Y352+($Z352-$Y352)*(MAX(10,MIN(150,$C352))-INDEX('Flow Curves'!$A$5:$A$11,$W352))/(INDEX('Flow Curves'!$A$5:$A$11,$X352)-INDEX('Flow Curves'!$A$5:$A$11,$W352))))</f>
        <v>0</v>
      </c>
      <c r="P352" s="20" t="n">
        <f aca="false">IF(OR($B352="Air",$B352="Open Blow"),$O352*60*Cost!$D$16*Cost!$D$17/Cost!$D$5*Cost!$D$13,0)</f>
        <v>0</v>
      </c>
      <c r="Q352" s="17"/>
      <c r="U352" s="16" t="str">
        <f aca="false">IF($D352="","",IF(ISNA(MATCH($B352,Cost!$H$5:$H$11,0)),"CHECK GAS TYPE",IF(OR($C352&lt;10,$C352&gt;150),"CHECK PRESSURE: outside 10-150 psi table",IF(OR($D352&lt;1,$D352&gt;120),"CHECK dB: outside 1-120 table",IF(ISNA(MATCH($C352,'Flow Curves'!$A$5:$A$11,0)),"INTERPOLATED between curves","Table curve")))))</f>
        <v/>
      </c>
      <c r="W352" s="2" t="str">
        <f aca="false">IF(OR($D352="",$C352=""),"",MATCH(MAX(10,MIN(150,$C352)),'Flow Curves'!$A$5:$A$11,1))</f>
        <v/>
      </c>
      <c r="X352" s="2" t="str">
        <f aca="false">IF($W352="","",MIN($W352+1,7))</f>
        <v/>
      </c>
      <c r="Y352" s="2" t="str">
        <f aca="false">IF($W352="","",INDEX('Flow Curves'!$B$5:$B$11,$W352)*POWER($D352,INDEX('Flow Curves'!$C$5:$C$11,$W352)))</f>
        <v/>
      </c>
      <c r="Z352" s="2" t="str">
        <f aca="false">IF($W352="","",INDEX('Flow Curves'!$B$5:$B$11,$X352)*POWER($D352,INDEX('Flow Curves'!$C$5:$C$11,$X352)))</f>
        <v/>
      </c>
    </row>
    <row r="353" customFormat="false" ht="15" hidden="false" customHeight="false" outlineLevel="0" collapsed="false">
      <c r="A353" s="16" t="n">
        <v>346</v>
      </c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8" t="n">
        <f aca="false">IF($O353=0,0,$O353*60*Cost!$D$16*Cost!$D$17*IFERROR(INDEX(Cost!$I$5:$I$11,MATCH($B353,Cost!$H$5:$H$11,0)),0)/Cost!$D$5)</f>
        <v>0</v>
      </c>
      <c r="O353" s="19" t="n">
        <f aca="false">IF($W353="",0,IF(INDEX('Flow Curves'!$A$5:$A$11,$X353)=INDEX('Flow Curves'!$A$5:$A$11,$W353),$Y353,$Y353+($Z353-$Y353)*(MAX(10,MIN(150,$C353))-INDEX('Flow Curves'!$A$5:$A$11,$W353))/(INDEX('Flow Curves'!$A$5:$A$11,$X353)-INDEX('Flow Curves'!$A$5:$A$11,$W353))))</f>
        <v>0</v>
      </c>
      <c r="P353" s="20" t="n">
        <f aca="false">IF(OR($B353="Air",$B353="Open Blow"),$O353*60*Cost!$D$16*Cost!$D$17/Cost!$D$5*Cost!$D$13,0)</f>
        <v>0</v>
      </c>
      <c r="Q353" s="17"/>
      <c r="U353" s="16" t="str">
        <f aca="false">IF($D353="","",IF(ISNA(MATCH($B353,Cost!$H$5:$H$11,0)),"CHECK GAS TYPE",IF(OR($C353&lt;10,$C353&gt;150),"CHECK PRESSURE: outside 10-150 psi table",IF(OR($D353&lt;1,$D353&gt;120),"CHECK dB: outside 1-120 table",IF(ISNA(MATCH($C353,'Flow Curves'!$A$5:$A$11,0)),"INTERPOLATED between curves","Table curve")))))</f>
        <v/>
      </c>
      <c r="W353" s="2" t="str">
        <f aca="false">IF(OR($D353="",$C353=""),"",MATCH(MAX(10,MIN(150,$C353)),'Flow Curves'!$A$5:$A$11,1))</f>
        <v/>
      </c>
      <c r="X353" s="2" t="str">
        <f aca="false">IF($W353="","",MIN($W353+1,7))</f>
        <v/>
      </c>
      <c r="Y353" s="2" t="str">
        <f aca="false">IF($W353="","",INDEX('Flow Curves'!$B$5:$B$11,$W353)*POWER($D353,INDEX('Flow Curves'!$C$5:$C$11,$W353)))</f>
        <v/>
      </c>
      <c r="Z353" s="2" t="str">
        <f aca="false">IF($W353="","",INDEX('Flow Curves'!$B$5:$B$11,$X353)*POWER($D353,INDEX('Flow Curves'!$C$5:$C$11,$X353)))</f>
        <v/>
      </c>
    </row>
    <row r="354" customFormat="false" ht="15" hidden="false" customHeight="false" outlineLevel="0" collapsed="false">
      <c r="A354" s="16" t="n">
        <v>347</v>
      </c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8" t="n">
        <f aca="false">IF($O354=0,0,$O354*60*Cost!$D$16*Cost!$D$17*IFERROR(INDEX(Cost!$I$5:$I$11,MATCH($B354,Cost!$H$5:$H$11,0)),0)/Cost!$D$5)</f>
        <v>0</v>
      </c>
      <c r="O354" s="19" t="n">
        <f aca="false">IF($W354="",0,IF(INDEX('Flow Curves'!$A$5:$A$11,$X354)=INDEX('Flow Curves'!$A$5:$A$11,$W354),$Y354,$Y354+($Z354-$Y354)*(MAX(10,MIN(150,$C354))-INDEX('Flow Curves'!$A$5:$A$11,$W354))/(INDEX('Flow Curves'!$A$5:$A$11,$X354)-INDEX('Flow Curves'!$A$5:$A$11,$W354))))</f>
        <v>0</v>
      </c>
      <c r="P354" s="20" t="n">
        <f aca="false">IF(OR($B354="Air",$B354="Open Blow"),$O354*60*Cost!$D$16*Cost!$D$17/Cost!$D$5*Cost!$D$13,0)</f>
        <v>0</v>
      </c>
      <c r="Q354" s="17"/>
      <c r="U354" s="16" t="str">
        <f aca="false">IF($D354="","",IF(ISNA(MATCH($B354,Cost!$H$5:$H$11,0)),"CHECK GAS TYPE",IF(OR($C354&lt;10,$C354&gt;150),"CHECK PRESSURE: outside 10-150 psi table",IF(OR($D354&lt;1,$D354&gt;120),"CHECK dB: outside 1-120 table",IF(ISNA(MATCH($C354,'Flow Curves'!$A$5:$A$11,0)),"INTERPOLATED between curves","Table curve")))))</f>
        <v/>
      </c>
      <c r="W354" s="2" t="str">
        <f aca="false">IF(OR($D354="",$C354=""),"",MATCH(MAX(10,MIN(150,$C354)),'Flow Curves'!$A$5:$A$11,1))</f>
        <v/>
      </c>
      <c r="X354" s="2" t="str">
        <f aca="false">IF($W354="","",MIN($W354+1,7))</f>
        <v/>
      </c>
      <c r="Y354" s="2" t="str">
        <f aca="false">IF($W354="","",INDEX('Flow Curves'!$B$5:$B$11,$W354)*POWER($D354,INDEX('Flow Curves'!$C$5:$C$11,$W354)))</f>
        <v/>
      </c>
      <c r="Z354" s="2" t="str">
        <f aca="false">IF($W354="","",INDEX('Flow Curves'!$B$5:$B$11,$X354)*POWER($D354,INDEX('Flow Curves'!$C$5:$C$11,$X354)))</f>
        <v/>
      </c>
    </row>
    <row r="355" customFormat="false" ht="15" hidden="false" customHeight="false" outlineLevel="0" collapsed="false">
      <c r="A355" s="16" t="n">
        <v>348</v>
      </c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8" t="n">
        <f aca="false">IF($O355=0,0,$O355*60*Cost!$D$16*Cost!$D$17*IFERROR(INDEX(Cost!$I$5:$I$11,MATCH($B355,Cost!$H$5:$H$11,0)),0)/Cost!$D$5)</f>
        <v>0</v>
      </c>
      <c r="O355" s="19" t="n">
        <f aca="false">IF($W355="",0,IF(INDEX('Flow Curves'!$A$5:$A$11,$X355)=INDEX('Flow Curves'!$A$5:$A$11,$W355),$Y355,$Y355+($Z355-$Y355)*(MAX(10,MIN(150,$C355))-INDEX('Flow Curves'!$A$5:$A$11,$W355))/(INDEX('Flow Curves'!$A$5:$A$11,$X355)-INDEX('Flow Curves'!$A$5:$A$11,$W355))))</f>
        <v>0</v>
      </c>
      <c r="P355" s="20" t="n">
        <f aca="false">IF(OR($B355="Air",$B355="Open Blow"),$O355*60*Cost!$D$16*Cost!$D$17/Cost!$D$5*Cost!$D$13,0)</f>
        <v>0</v>
      </c>
      <c r="Q355" s="17"/>
      <c r="U355" s="16" t="str">
        <f aca="false">IF($D355="","",IF(ISNA(MATCH($B355,Cost!$H$5:$H$11,0)),"CHECK GAS TYPE",IF(OR($C355&lt;10,$C355&gt;150),"CHECK PRESSURE: outside 10-150 psi table",IF(OR($D355&lt;1,$D355&gt;120),"CHECK dB: outside 1-120 table",IF(ISNA(MATCH($C355,'Flow Curves'!$A$5:$A$11,0)),"INTERPOLATED between curves","Table curve")))))</f>
        <v/>
      </c>
      <c r="W355" s="2" t="str">
        <f aca="false">IF(OR($D355="",$C355=""),"",MATCH(MAX(10,MIN(150,$C355)),'Flow Curves'!$A$5:$A$11,1))</f>
        <v/>
      </c>
      <c r="X355" s="2" t="str">
        <f aca="false">IF($W355="","",MIN($W355+1,7))</f>
        <v/>
      </c>
      <c r="Y355" s="2" t="str">
        <f aca="false">IF($W355="","",INDEX('Flow Curves'!$B$5:$B$11,$W355)*POWER($D355,INDEX('Flow Curves'!$C$5:$C$11,$W355)))</f>
        <v/>
      </c>
      <c r="Z355" s="2" t="str">
        <f aca="false">IF($W355="","",INDEX('Flow Curves'!$B$5:$B$11,$X355)*POWER($D355,INDEX('Flow Curves'!$C$5:$C$11,$X355)))</f>
        <v/>
      </c>
    </row>
    <row r="356" customFormat="false" ht="15" hidden="false" customHeight="false" outlineLevel="0" collapsed="false">
      <c r="A356" s="16" t="n">
        <v>349</v>
      </c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8" t="n">
        <f aca="false">IF($O356=0,0,$O356*60*Cost!$D$16*Cost!$D$17*IFERROR(INDEX(Cost!$I$5:$I$11,MATCH($B356,Cost!$H$5:$H$11,0)),0)/Cost!$D$5)</f>
        <v>0</v>
      </c>
      <c r="O356" s="19" t="n">
        <f aca="false">IF($W356="",0,IF(INDEX('Flow Curves'!$A$5:$A$11,$X356)=INDEX('Flow Curves'!$A$5:$A$11,$W356),$Y356,$Y356+($Z356-$Y356)*(MAX(10,MIN(150,$C356))-INDEX('Flow Curves'!$A$5:$A$11,$W356))/(INDEX('Flow Curves'!$A$5:$A$11,$X356)-INDEX('Flow Curves'!$A$5:$A$11,$W356))))</f>
        <v>0</v>
      </c>
      <c r="P356" s="20" t="n">
        <f aca="false">IF(OR($B356="Air",$B356="Open Blow"),$O356*60*Cost!$D$16*Cost!$D$17/Cost!$D$5*Cost!$D$13,0)</f>
        <v>0</v>
      </c>
      <c r="Q356" s="17"/>
      <c r="U356" s="16" t="str">
        <f aca="false">IF($D356="","",IF(ISNA(MATCH($B356,Cost!$H$5:$H$11,0)),"CHECK GAS TYPE",IF(OR($C356&lt;10,$C356&gt;150),"CHECK PRESSURE: outside 10-150 psi table",IF(OR($D356&lt;1,$D356&gt;120),"CHECK dB: outside 1-120 table",IF(ISNA(MATCH($C356,'Flow Curves'!$A$5:$A$11,0)),"INTERPOLATED between curves","Table curve")))))</f>
        <v/>
      </c>
      <c r="W356" s="2" t="str">
        <f aca="false">IF(OR($D356="",$C356=""),"",MATCH(MAX(10,MIN(150,$C356)),'Flow Curves'!$A$5:$A$11,1))</f>
        <v/>
      </c>
      <c r="X356" s="2" t="str">
        <f aca="false">IF($W356="","",MIN($W356+1,7))</f>
        <v/>
      </c>
      <c r="Y356" s="2" t="str">
        <f aca="false">IF($W356="","",INDEX('Flow Curves'!$B$5:$B$11,$W356)*POWER($D356,INDEX('Flow Curves'!$C$5:$C$11,$W356)))</f>
        <v/>
      </c>
      <c r="Z356" s="2" t="str">
        <f aca="false">IF($W356="","",INDEX('Flow Curves'!$B$5:$B$11,$X356)*POWER($D356,INDEX('Flow Curves'!$C$5:$C$11,$X356)))</f>
        <v/>
      </c>
    </row>
    <row r="357" customFormat="false" ht="15" hidden="false" customHeight="false" outlineLevel="0" collapsed="false">
      <c r="A357" s="16" t="n">
        <v>350</v>
      </c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8" t="n">
        <f aca="false">IF($O357=0,0,$O357*60*Cost!$D$16*Cost!$D$17*IFERROR(INDEX(Cost!$I$5:$I$11,MATCH($B357,Cost!$H$5:$H$11,0)),0)/Cost!$D$5)</f>
        <v>0</v>
      </c>
      <c r="O357" s="19" t="n">
        <f aca="false">IF($W357="",0,IF(INDEX('Flow Curves'!$A$5:$A$11,$X357)=INDEX('Flow Curves'!$A$5:$A$11,$W357),$Y357,$Y357+($Z357-$Y357)*(MAX(10,MIN(150,$C357))-INDEX('Flow Curves'!$A$5:$A$11,$W357))/(INDEX('Flow Curves'!$A$5:$A$11,$X357)-INDEX('Flow Curves'!$A$5:$A$11,$W357))))</f>
        <v>0</v>
      </c>
      <c r="P357" s="20" t="n">
        <f aca="false">IF(OR($B357="Air",$B357="Open Blow"),$O357*60*Cost!$D$16*Cost!$D$17/Cost!$D$5*Cost!$D$13,0)</f>
        <v>0</v>
      </c>
      <c r="Q357" s="17"/>
      <c r="U357" s="16" t="str">
        <f aca="false">IF($D357="","",IF(ISNA(MATCH($B357,Cost!$H$5:$H$11,0)),"CHECK GAS TYPE",IF(OR($C357&lt;10,$C357&gt;150),"CHECK PRESSURE: outside 10-150 psi table",IF(OR($D357&lt;1,$D357&gt;120),"CHECK dB: outside 1-120 table",IF(ISNA(MATCH($C357,'Flow Curves'!$A$5:$A$11,0)),"INTERPOLATED between curves","Table curve")))))</f>
        <v/>
      </c>
      <c r="W357" s="2" t="str">
        <f aca="false">IF(OR($D357="",$C357=""),"",MATCH(MAX(10,MIN(150,$C357)),'Flow Curves'!$A$5:$A$11,1))</f>
        <v/>
      </c>
      <c r="X357" s="2" t="str">
        <f aca="false">IF($W357="","",MIN($W357+1,7))</f>
        <v/>
      </c>
      <c r="Y357" s="2" t="str">
        <f aca="false">IF($W357="","",INDEX('Flow Curves'!$B$5:$B$11,$W357)*POWER($D357,INDEX('Flow Curves'!$C$5:$C$11,$W357)))</f>
        <v/>
      </c>
      <c r="Z357" s="2" t="str">
        <f aca="false">IF($W357="","",INDEX('Flow Curves'!$B$5:$B$11,$X357)*POWER($D357,INDEX('Flow Curves'!$C$5:$C$11,$X357)))</f>
        <v/>
      </c>
    </row>
    <row r="358" customFormat="false" ht="15" hidden="false" customHeight="false" outlineLevel="0" collapsed="false">
      <c r="A358" s="16" t="n">
        <v>351</v>
      </c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8" t="n">
        <f aca="false">IF($O358=0,0,$O358*60*Cost!$D$16*Cost!$D$17*IFERROR(INDEX(Cost!$I$5:$I$11,MATCH($B358,Cost!$H$5:$H$11,0)),0)/Cost!$D$5)</f>
        <v>0</v>
      </c>
      <c r="O358" s="19" t="n">
        <f aca="false">IF($W358="",0,IF(INDEX('Flow Curves'!$A$5:$A$11,$X358)=INDEX('Flow Curves'!$A$5:$A$11,$W358),$Y358,$Y358+($Z358-$Y358)*(MAX(10,MIN(150,$C358))-INDEX('Flow Curves'!$A$5:$A$11,$W358))/(INDEX('Flow Curves'!$A$5:$A$11,$X358)-INDEX('Flow Curves'!$A$5:$A$11,$W358))))</f>
        <v>0</v>
      </c>
      <c r="P358" s="20" t="n">
        <f aca="false">IF(OR($B358="Air",$B358="Open Blow"),$O358*60*Cost!$D$16*Cost!$D$17/Cost!$D$5*Cost!$D$13,0)</f>
        <v>0</v>
      </c>
      <c r="Q358" s="17"/>
      <c r="U358" s="16" t="str">
        <f aca="false">IF($D358="","",IF(ISNA(MATCH($B358,Cost!$H$5:$H$11,0)),"CHECK GAS TYPE",IF(OR($C358&lt;10,$C358&gt;150),"CHECK PRESSURE: outside 10-150 psi table",IF(OR($D358&lt;1,$D358&gt;120),"CHECK dB: outside 1-120 table",IF(ISNA(MATCH($C358,'Flow Curves'!$A$5:$A$11,0)),"INTERPOLATED between curves","Table curve")))))</f>
        <v/>
      </c>
      <c r="W358" s="2" t="str">
        <f aca="false">IF(OR($D358="",$C358=""),"",MATCH(MAX(10,MIN(150,$C358)),'Flow Curves'!$A$5:$A$11,1))</f>
        <v/>
      </c>
      <c r="X358" s="2" t="str">
        <f aca="false">IF($W358="","",MIN($W358+1,7))</f>
        <v/>
      </c>
      <c r="Y358" s="2" t="str">
        <f aca="false">IF($W358="","",INDEX('Flow Curves'!$B$5:$B$11,$W358)*POWER($D358,INDEX('Flow Curves'!$C$5:$C$11,$W358)))</f>
        <v/>
      </c>
      <c r="Z358" s="2" t="str">
        <f aca="false">IF($W358="","",INDEX('Flow Curves'!$B$5:$B$11,$X358)*POWER($D358,INDEX('Flow Curves'!$C$5:$C$11,$X358)))</f>
        <v/>
      </c>
    </row>
    <row r="359" customFormat="false" ht="15" hidden="false" customHeight="false" outlineLevel="0" collapsed="false">
      <c r="A359" s="16" t="n">
        <v>352</v>
      </c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8" t="n">
        <f aca="false">IF($O359=0,0,$O359*60*Cost!$D$16*Cost!$D$17*IFERROR(INDEX(Cost!$I$5:$I$11,MATCH($B359,Cost!$H$5:$H$11,0)),0)/Cost!$D$5)</f>
        <v>0</v>
      </c>
      <c r="O359" s="19" t="n">
        <f aca="false">IF($W359="",0,IF(INDEX('Flow Curves'!$A$5:$A$11,$X359)=INDEX('Flow Curves'!$A$5:$A$11,$W359),$Y359,$Y359+($Z359-$Y359)*(MAX(10,MIN(150,$C359))-INDEX('Flow Curves'!$A$5:$A$11,$W359))/(INDEX('Flow Curves'!$A$5:$A$11,$X359)-INDEX('Flow Curves'!$A$5:$A$11,$W359))))</f>
        <v>0</v>
      </c>
      <c r="P359" s="20" t="n">
        <f aca="false">IF(OR($B359="Air",$B359="Open Blow"),$O359*60*Cost!$D$16*Cost!$D$17/Cost!$D$5*Cost!$D$13,0)</f>
        <v>0</v>
      </c>
      <c r="Q359" s="17"/>
      <c r="U359" s="16" t="str">
        <f aca="false">IF($D359="","",IF(ISNA(MATCH($B359,Cost!$H$5:$H$11,0)),"CHECK GAS TYPE",IF(OR($C359&lt;10,$C359&gt;150),"CHECK PRESSURE: outside 10-150 psi table",IF(OR($D359&lt;1,$D359&gt;120),"CHECK dB: outside 1-120 table",IF(ISNA(MATCH($C359,'Flow Curves'!$A$5:$A$11,0)),"INTERPOLATED between curves","Table curve")))))</f>
        <v/>
      </c>
      <c r="W359" s="2" t="str">
        <f aca="false">IF(OR($D359="",$C359=""),"",MATCH(MAX(10,MIN(150,$C359)),'Flow Curves'!$A$5:$A$11,1))</f>
        <v/>
      </c>
      <c r="X359" s="2" t="str">
        <f aca="false">IF($W359="","",MIN($W359+1,7))</f>
        <v/>
      </c>
      <c r="Y359" s="2" t="str">
        <f aca="false">IF($W359="","",INDEX('Flow Curves'!$B$5:$B$11,$W359)*POWER($D359,INDEX('Flow Curves'!$C$5:$C$11,$W359)))</f>
        <v/>
      </c>
      <c r="Z359" s="2" t="str">
        <f aca="false">IF($W359="","",INDEX('Flow Curves'!$B$5:$B$11,$X359)*POWER($D359,INDEX('Flow Curves'!$C$5:$C$11,$X359)))</f>
        <v/>
      </c>
    </row>
    <row r="360" customFormat="false" ht="15" hidden="false" customHeight="false" outlineLevel="0" collapsed="false">
      <c r="A360" s="16" t="n">
        <v>353</v>
      </c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8" t="n">
        <f aca="false">IF($O360=0,0,$O360*60*Cost!$D$16*Cost!$D$17*IFERROR(INDEX(Cost!$I$5:$I$11,MATCH($B360,Cost!$H$5:$H$11,0)),0)/Cost!$D$5)</f>
        <v>0</v>
      </c>
      <c r="O360" s="19" t="n">
        <f aca="false">IF($W360="",0,IF(INDEX('Flow Curves'!$A$5:$A$11,$X360)=INDEX('Flow Curves'!$A$5:$A$11,$W360),$Y360,$Y360+($Z360-$Y360)*(MAX(10,MIN(150,$C360))-INDEX('Flow Curves'!$A$5:$A$11,$W360))/(INDEX('Flow Curves'!$A$5:$A$11,$X360)-INDEX('Flow Curves'!$A$5:$A$11,$W360))))</f>
        <v>0</v>
      </c>
      <c r="P360" s="20" t="n">
        <f aca="false">IF(OR($B360="Air",$B360="Open Blow"),$O360*60*Cost!$D$16*Cost!$D$17/Cost!$D$5*Cost!$D$13,0)</f>
        <v>0</v>
      </c>
      <c r="Q360" s="17"/>
      <c r="U360" s="16" t="str">
        <f aca="false">IF($D360="","",IF(ISNA(MATCH($B360,Cost!$H$5:$H$11,0)),"CHECK GAS TYPE",IF(OR($C360&lt;10,$C360&gt;150),"CHECK PRESSURE: outside 10-150 psi table",IF(OR($D360&lt;1,$D360&gt;120),"CHECK dB: outside 1-120 table",IF(ISNA(MATCH($C360,'Flow Curves'!$A$5:$A$11,0)),"INTERPOLATED between curves","Table curve")))))</f>
        <v/>
      </c>
      <c r="W360" s="2" t="str">
        <f aca="false">IF(OR($D360="",$C360=""),"",MATCH(MAX(10,MIN(150,$C360)),'Flow Curves'!$A$5:$A$11,1))</f>
        <v/>
      </c>
      <c r="X360" s="2" t="str">
        <f aca="false">IF($W360="","",MIN($W360+1,7))</f>
        <v/>
      </c>
      <c r="Y360" s="2" t="str">
        <f aca="false">IF($W360="","",INDEX('Flow Curves'!$B$5:$B$11,$W360)*POWER($D360,INDEX('Flow Curves'!$C$5:$C$11,$W360)))</f>
        <v/>
      </c>
      <c r="Z360" s="2" t="str">
        <f aca="false">IF($W360="","",INDEX('Flow Curves'!$B$5:$B$11,$X360)*POWER($D360,INDEX('Flow Curves'!$C$5:$C$11,$X360)))</f>
        <v/>
      </c>
    </row>
    <row r="361" customFormat="false" ht="15" hidden="false" customHeight="false" outlineLevel="0" collapsed="false">
      <c r="A361" s="16" t="n">
        <v>354</v>
      </c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8" t="n">
        <f aca="false">IF($O361=0,0,$O361*60*Cost!$D$16*Cost!$D$17*IFERROR(INDEX(Cost!$I$5:$I$11,MATCH($B361,Cost!$H$5:$H$11,0)),0)/Cost!$D$5)</f>
        <v>0</v>
      </c>
      <c r="O361" s="19" t="n">
        <f aca="false">IF($W361="",0,IF(INDEX('Flow Curves'!$A$5:$A$11,$X361)=INDEX('Flow Curves'!$A$5:$A$11,$W361),$Y361,$Y361+($Z361-$Y361)*(MAX(10,MIN(150,$C361))-INDEX('Flow Curves'!$A$5:$A$11,$W361))/(INDEX('Flow Curves'!$A$5:$A$11,$X361)-INDEX('Flow Curves'!$A$5:$A$11,$W361))))</f>
        <v>0</v>
      </c>
      <c r="P361" s="20" t="n">
        <f aca="false">IF(OR($B361="Air",$B361="Open Blow"),$O361*60*Cost!$D$16*Cost!$D$17/Cost!$D$5*Cost!$D$13,0)</f>
        <v>0</v>
      </c>
      <c r="Q361" s="17"/>
      <c r="U361" s="16" t="str">
        <f aca="false">IF($D361="","",IF(ISNA(MATCH($B361,Cost!$H$5:$H$11,0)),"CHECK GAS TYPE",IF(OR($C361&lt;10,$C361&gt;150),"CHECK PRESSURE: outside 10-150 psi table",IF(OR($D361&lt;1,$D361&gt;120),"CHECK dB: outside 1-120 table",IF(ISNA(MATCH($C361,'Flow Curves'!$A$5:$A$11,0)),"INTERPOLATED between curves","Table curve")))))</f>
        <v/>
      </c>
      <c r="W361" s="2" t="str">
        <f aca="false">IF(OR($D361="",$C361=""),"",MATCH(MAX(10,MIN(150,$C361)),'Flow Curves'!$A$5:$A$11,1))</f>
        <v/>
      </c>
      <c r="X361" s="2" t="str">
        <f aca="false">IF($W361="","",MIN($W361+1,7))</f>
        <v/>
      </c>
      <c r="Y361" s="2" t="str">
        <f aca="false">IF($W361="","",INDEX('Flow Curves'!$B$5:$B$11,$W361)*POWER($D361,INDEX('Flow Curves'!$C$5:$C$11,$W361)))</f>
        <v/>
      </c>
      <c r="Z361" s="2" t="str">
        <f aca="false">IF($W361="","",INDEX('Flow Curves'!$B$5:$B$11,$X361)*POWER($D361,INDEX('Flow Curves'!$C$5:$C$11,$X361)))</f>
        <v/>
      </c>
    </row>
    <row r="362" customFormat="false" ht="15" hidden="false" customHeight="false" outlineLevel="0" collapsed="false">
      <c r="A362" s="16" t="n">
        <v>355</v>
      </c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8" t="n">
        <f aca="false">IF($O362=0,0,$O362*60*Cost!$D$16*Cost!$D$17*IFERROR(INDEX(Cost!$I$5:$I$11,MATCH($B362,Cost!$H$5:$H$11,0)),0)/Cost!$D$5)</f>
        <v>0</v>
      </c>
      <c r="O362" s="19" t="n">
        <f aca="false">IF($W362="",0,IF(INDEX('Flow Curves'!$A$5:$A$11,$X362)=INDEX('Flow Curves'!$A$5:$A$11,$W362),$Y362,$Y362+($Z362-$Y362)*(MAX(10,MIN(150,$C362))-INDEX('Flow Curves'!$A$5:$A$11,$W362))/(INDEX('Flow Curves'!$A$5:$A$11,$X362)-INDEX('Flow Curves'!$A$5:$A$11,$W362))))</f>
        <v>0</v>
      </c>
      <c r="P362" s="20" t="n">
        <f aca="false">IF(OR($B362="Air",$B362="Open Blow"),$O362*60*Cost!$D$16*Cost!$D$17/Cost!$D$5*Cost!$D$13,0)</f>
        <v>0</v>
      </c>
      <c r="Q362" s="17"/>
      <c r="U362" s="16" t="str">
        <f aca="false">IF($D362="","",IF(ISNA(MATCH($B362,Cost!$H$5:$H$11,0)),"CHECK GAS TYPE",IF(OR($C362&lt;10,$C362&gt;150),"CHECK PRESSURE: outside 10-150 psi table",IF(OR($D362&lt;1,$D362&gt;120),"CHECK dB: outside 1-120 table",IF(ISNA(MATCH($C362,'Flow Curves'!$A$5:$A$11,0)),"INTERPOLATED between curves","Table curve")))))</f>
        <v/>
      </c>
      <c r="W362" s="2" t="str">
        <f aca="false">IF(OR($D362="",$C362=""),"",MATCH(MAX(10,MIN(150,$C362)),'Flow Curves'!$A$5:$A$11,1))</f>
        <v/>
      </c>
      <c r="X362" s="2" t="str">
        <f aca="false">IF($W362="","",MIN($W362+1,7))</f>
        <v/>
      </c>
      <c r="Y362" s="2" t="str">
        <f aca="false">IF($W362="","",INDEX('Flow Curves'!$B$5:$B$11,$W362)*POWER($D362,INDEX('Flow Curves'!$C$5:$C$11,$W362)))</f>
        <v/>
      </c>
      <c r="Z362" s="2" t="str">
        <f aca="false">IF($W362="","",INDEX('Flow Curves'!$B$5:$B$11,$X362)*POWER($D362,INDEX('Flow Curves'!$C$5:$C$11,$X362)))</f>
        <v/>
      </c>
    </row>
    <row r="363" customFormat="false" ht="15" hidden="false" customHeight="false" outlineLevel="0" collapsed="false">
      <c r="A363" s="16" t="n">
        <v>356</v>
      </c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8" t="n">
        <f aca="false">IF($O363=0,0,$O363*60*Cost!$D$16*Cost!$D$17*IFERROR(INDEX(Cost!$I$5:$I$11,MATCH($B363,Cost!$H$5:$H$11,0)),0)/Cost!$D$5)</f>
        <v>0</v>
      </c>
      <c r="O363" s="19" t="n">
        <f aca="false">IF($W363="",0,IF(INDEX('Flow Curves'!$A$5:$A$11,$X363)=INDEX('Flow Curves'!$A$5:$A$11,$W363),$Y363,$Y363+($Z363-$Y363)*(MAX(10,MIN(150,$C363))-INDEX('Flow Curves'!$A$5:$A$11,$W363))/(INDEX('Flow Curves'!$A$5:$A$11,$X363)-INDEX('Flow Curves'!$A$5:$A$11,$W363))))</f>
        <v>0</v>
      </c>
      <c r="P363" s="20" t="n">
        <f aca="false">IF(OR($B363="Air",$B363="Open Blow"),$O363*60*Cost!$D$16*Cost!$D$17/Cost!$D$5*Cost!$D$13,0)</f>
        <v>0</v>
      </c>
      <c r="Q363" s="17"/>
      <c r="U363" s="16" t="str">
        <f aca="false">IF($D363="","",IF(ISNA(MATCH($B363,Cost!$H$5:$H$11,0)),"CHECK GAS TYPE",IF(OR($C363&lt;10,$C363&gt;150),"CHECK PRESSURE: outside 10-150 psi table",IF(OR($D363&lt;1,$D363&gt;120),"CHECK dB: outside 1-120 table",IF(ISNA(MATCH($C363,'Flow Curves'!$A$5:$A$11,0)),"INTERPOLATED between curves","Table curve")))))</f>
        <v/>
      </c>
      <c r="W363" s="2" t="str">
        <f aca="false">IF(OR($D363="",$C363=""),"",MATCH(MAX(10,MIN(150,$C363)),'Flow Curves'!$A$5:$A$11,1))</f>
        <v/>
      </c>
      <c r="X363" s="2" t="str">
        <f aca="false">IF($W363="","",MIN($W363+1,7))</f>
        <v/>
      </c>
      <c r="Y363" s="2" t="str">
        <f aca="false">IF($W363="","",INDEX('Flow Curves'!$B$5:$B$11,$W363)*POWER($D363,INDEX('Flow Curves'!$C$5:$C$11,$W363)))</f>
        <v/>
      </c>
      <c r="Z363" s="2" t="str">
        <f aca="false">IF($W363="","",INDEX('Flow Curves'!$B$5:$B$11,$X363)*POWER($D363,INDEX('Flow Curves'!$C$5:$C$11,$X363)))</f>
        <v/>
      </c>
    </row>
    <row r="364" customFormat="false" ht="15" hidden="false" customHeight="false" outlineLevel="0" collapsed="false">
      <c r="A364" s="16" t="n">
        <v>357</v>
      </c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8" t="n">
        <f aca="false">IF($O364=0,0,$O364*60*Cost!$D$16*Cost!$D$17*IFERROR(INDEX(Cost!$I$5:$I$11,MATCH($B364,Cost!$H$5:$H$11,0)),0)/Cost!$D$5)</f>
        <v>0</v>
      </c>
      <c r="O364" s="19" t="n">
        <f aca="false">IF($W364="",0,IF(INDEX('Flow Curves'!$A$5:$A$11,$X364)=INDEX('Flow Curves'!$A$5:$A$11,$W364),$Y364,$Y364+($Z364-$Y364)*(MAX(10,MIN(150,$C364))-INDEX('Flow Curves'!$A$5:$A$11,$W364))/(INDEX('Flow Curves'!$A$5:$A$11,$X364)-INDEX('Flow Curves'!$A$5:$A$11,$W364))))</f>
        <v>0</v>
      </c>
      <c r="P364" s="20" t="n">
        <f aca="false">IF(OR($B364="Air",$B364="Open Blow"),$O364*60*Cost!$D$16*Cost!$D$17/Cost!$D$5*Cost!$D$13,0)</f>
        <v>0</v>
      </c>
      <c r="Q364" s="17"/>
      <c r="U364" s="16" t="str">
        <f aca="false">IF($D364="","",IF(ISNA(MATCH($B364,Cost!$H$5:$H$11,0)),"CHECK GAS TYPE",IF(OR($C364&lt;10,$C364&gt;150),"CHECK PRESSURE: outside 10-150 psi table",IF(OR($D364&lt;1,$D364&gt;120),"CHECK dB: outside 1-120 table",IF(ISNA(MATCH($C364,'Flow Curves'!$A$5:$A$11,0)),"INTERPOLATED between curves","Table curve")))))</f>
        <v/>
      </c>
      <c r="W364" s="2" t="str">
        <f aca="false">IF(OR($D364="",$C364=""),"",MATCH(MAX(10,MIN(150,$C364)),'Flow Curves'!$A$5:$A$11,1))</f>
        <v/>
      </c>
      <c r="X364" s="2" t="str">
        <f aca="false">IF($W364="","",MIN($W364+1,7))</f>
        <v/>
      </c>
      <c r="Y364" s="2" t="str">
        <f aca="false">IF($W364="","",INDEX('Flow Curves'!$B$5:$B$11,$W364)*POWER($D364,INDEX('Flow Curves'!$C$5:$C$11,$W364)))</f>
        <v/>
      </c>
      <c r="Z364" s="2" t="str">
        <f aca="false">IF($W364="","",INDEX('Flow Curves'!$B$5:$B$11,$X364)*POWER($D364,INDEX('Flow Curves'!$C$5:$C$11,$X364)))</f>
        <v/>
      </c>
    </row>
    <row r="365" customFormat="false" ht="15" hidden="false" customHeight="false" outlineLevel="0" collapsed="false">
      <c r="A365" s="16" t="n">
        <v>358</v>
      </c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8" t="n">
        <f aca="false">IF($O365=0,0,$O365*60*Cost!$D$16*Cost!$D$17*IFERROR(INDEX(Cost!$I$5:$I$11,MATCH($B365,Cost!$H$5:$H$11,0)),0)/Cost!$D$5)</f>
        <v>0</v>
      </c>
      <c r="O365" s="19" t="n">
        <f aca="false">IF($W365="",0,IF(INDEX('Flow Curves'!$A$5:$A$11,$X365)=INDEX('Flow Curves'!$A$5:$A$11,$W365),$Y365,$Y365+($Z365-$Y365)*(MAX(10,MIN(150,$C365))-INDEX('Flow Curves'!$A$5:$A$11,$W365))/(INDEX('Flow Curves'!$A$5:$A$11,$X365)-INDEX('Flow Curves'!$A$5:$A$11,$W365))))</f>
        <v>0</v>
      </c>
      <c r="P365" s="20" t="n">
        <f aca="false">IF(OR($B365="Air",$B365="Open Blow"),$O365*60*Cost!$D$16*Cost!$D$17/Cost!$D$5*Cost!$D$13,0)</f>
        <v>0</v>
      </c>
      <c r="Q365" s="17"/>
      <c r="U365" s="16" t="str">
        <f aca="false">IF($D365="","",IF(ISNA(MATCH($B365,Cost!$H$5:$H$11,0)),"CHECK GAS TYPE",IF(OR($C365&lt;10,$C365&gt;150),"CHECK PRESSURE: outside 10-150 psi table",IF(OR($D365&lt;1,$D365&gt;120),"CHECK dB: outside 1-120 table",IF(ISNA(MATCH($C365,'Flow Curves'!$A$5:$A$11,0)),"INTERPOLATED between curves","Table curve")))))</f>
        <v/>
      </c>
      <c r="W365" s="2" t="str">
        <f aca="false">IF(OR($D365="",$C365=""),"",MATCH(MAX(10,MIN(150,$C365)),'Flow Curves'!$A$5:$A$11,1))</f>
        <v/>
      </c>
      <c r="X365" s="2" t="str">
        <f aca="false">IF($W365="","",MIN($W365+1,7))</f>
        <v/>
      </c>
      <c r="Y365" s="2" t="str">
        <f aca="false">IF($W365="","",INDEX('Flow Curves'!$B$5:$B$11,$W365)*POWER($D365,INDEX('Flow Curves'!$C$5:$C$11,$W365)))</f>
        <v/>
      </c>
      <c r="Z365" s="2" t="str">
        <f aca="false">IF($W365="","",INDEX('Flow Curves'!$B$5:$B$11,$X365)*POWER($D365,INDEX('Flow Curves'!$C$5:$C$11,$X365)))</f>
        <v/>
      </c>
    </row>
    <row r="366" customFormat="false" ht="15" hidden="false" customHeight="false" outlineLevel="0" collapsed="false">
      <c r="A366" s="16" t="n">
        <v>359</v>
      </c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8" t="n">
        <f aca="false">IF($O366=0,0,$O366*60*Cost!$D$16*Cost!$D$17*IFERROR(INDEX(Cost!$I$5:$I$11,MATCH($B366,Cost!$H$5:$H$11,0)),0)/Cost!$D$5)</f>
        <v>0</v>
      </c>
      <c r="O366" s="19" t="n">
        <f aca="false">IF($W366="",0,IF(INDEX('Flow Curves'!$A$5:$A$11,$X366)=INDEX('Flow Curves'!$A$5:$A$11,$W366),$Y366,$Y366+($Z366-$Y366)*(MAX(10,MIN(150,$C366))-INDEX('Flow Curves'!$A$5:$A$11,$W366))/(INDEX('Flow Curves'!$A$5:$A$11,$X366)-INDEX('Flow Curves'!$A$5:$A$11,$W366))))</f>
        <v>0</v>
      </c>
      <c r="P366" s="20" t="n">
        <f aca="false">IF(OR($B366="Air",$B366="Open Blow"),$O366*60*Cost!$D$16*Cost!$D$17/Cost!$D$5*Cost!$D$13,0)</f>
        <v>0</v>
      </c>
      <c r="Q366" s="17"/>
      <c r="U366" s="16" t="str">
        <f aca="false">IF($D366="","",IF(ISNA(MATCH($B366,Cost!$H$5:$H$11,0)),"CHECK GAS TYPE",IF(OR($C366&lt;10,$C366&gt;150),"CHECK PRESSURE: outside 10-150 psi table",IF(OR($D366&lt;1,$D366&gt;120),"CHECK dB: outside 1-120 table",IF(ISNA(MATCH($C366,'Flow Curves'!$A$5:$A$11,0)),"INTERPOLATED between curves","Table curve")))))</f>
        <v/>
      </c>
      <c r="W366" s="2" t="str">
        <f aca="false">IF(OR($D366="",$C366=""),"",MATCH(MAX(10,MIN(150,$C366)),'Flow Curves'!$A$5:$A$11,1))</f>
        <v/>
      </c>
      <c r="X366" s="2" t="str">
        <f aca="false">IF($W366="","",MIN($W366+1,7))</f>
        <v/>
      </c>
      <c r="Y366" s="2" t="str">
        <f aca="false">IF($W366="","",INDEX('Flow Curves'!$B$5:$B$11,$W366)*POWER($D366,INDEX('Flow Curves'!$C$5:$C$11,$W366)))</f>
        <v/>
      </c>
      <c r="Z366" s="2" t="str">
        <f aca="false">IF($W366="","",INDEX('Flow Curves'!$B$5:$B$11,$X366)*POWER($D366,INDEX('Flow Curves'!$C$5:$C$11,$X366)))</f>
        <v/>
      </c>
    </row>
    <row r="367" customFormat="false" ht="15" hidden="false" customHeight="false" outlineLevel="0" collapsed="false">
      <c r="A367" s="16" t="n">
        <v>360</v>
      </c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8" t="n">
        <f aca="false">IF($O367=0,0,$O367*60*Cost!$D$16*Cost!$D$17*IFERROR(INDEX(Cost!$I$5:$I$11,MATCH($B367,Cost!$H$5:$H$11,0)),0)/Cost!$D$5)</f>
        <v>0</v>
      </c>
      <c r="O367" s="19" t="n">
        <f aca="false">IF($W367="",0,IF(INDEX('Flow Curves'!$A$5:$A$11,$X367)=INDEX('Flow Curves'!$A$5:$A$11,$W367),$Y367,$Y367+($Z367-$Y367)*(MAX(10,MIN(150,$C367))-INDEX('Flow Curves'!$A$5:$A$11,$W367))/(INDEX('Flow Curves'!$A$5:$A$11,$X367)-INDEX('Flow Curves'!$A$5:$A$11,$W367))))</f>
        <v>0</v>
      </c>
      <c r="P367" s="20" t="n">
        <f aca="false">IF(OR($B367="Air",$B367="Open Blow"),$O367*60*Cost!$D$16*Cost!$D$17/Cost!$D$5*Cost!$D$13,0)</f>
        <v>0</v>
      </c>
      <c r="Q367" s="17"/>
      <c r="U367" s="16" t="str">
        <f aca="false">IF($D367="","",IF(ISNA(MATCH($B367,Cost!$H$5:$H$11,0)),"CHECK GAS TYPE",IF(OR($C367&lt;10,$C367&gt;150),"CHECK PRESSURE: outside 10-150 psi table",IF(OR($D367&lt;1,$D367&gt;120),"CHECK dB: outside 1-120 table",IF(ISNA(MATCH($C367,'Flow Curves'!$A$5:$A$11,0)),"INTERPOLATED between curves","Table curve")))))</f>
        <v/>
      </c>
      <c r="W367" s="2" t="str">
        <f aca="false">IF(OR($D367="",$C367=""),"",MATCH(MAX(10,MIN(150,$C367)),'Flow Curves'!$A$5:$A$11,1))</f>
        <v/>
      </c>
      <c r="X367" s="2" t="str">
        <f aca="false">IF($W367="","",MIN($W367+1,7))</f>
        <v/>
      </c>
      <c r="Y367" s="2" t="str">
        <f aca="false">IF($W367="","",INDEX('Flow Curves'!$B$5:$B$11,$W367)*POWER($D367,INDEX('Flow Curves'!$C$5:$C$11,$W367)))</f>
        <v/>
      </c>
      <c r="Z367" s="2" t="str">
        <f aca="false">IF($W367="","",INDEX('Flow Curves'!$B$5:$B$11,$X367)*POWER($D367,INDEX('Flow Curves'!$C$5:$C$11,$X367)))</f>
        <v/>
      </c>
    </row>
    <row r="368" customFormat="false" ht="15" hidden="false" customHeight="false" outlineLevel="0" collapsed="false">
      <c r="A368" s="16" t="n">
        <v>361</v>
      </c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8" t="n">
        <f aca="false">IF($O368=0,0,$O368*60*Cost!$D$16*Cost!$D$17*IFERROR(INDEX(Cost!$I$5:$I$11,MATCH($B368,Cost!$H$5:$H$11,0)),0)/Cost!$D$5)</f>
        <v>0</v>
      </c>
      <c r="O368" s="19" t="n">
        <f aca="false">IF($W368="",0,IF(INDEX('Flow Curves'!$A$5:$A$11,$X368)=INDEX('Flow Curves'!$A$5:$A$11,$W368),$Y368,$Y368+($Z368-$Y368)*(MAX(10,MIN(150,$C368))-INDEX('Flow Curves'!$A$5:$A$11,$W368))/(INDEX('Flow Curves'!$A$5:$A$11,$X368)-INDEX('Flow Curves'!$A$5:$A$11,$W368))))</f>
        <v>0</v>
      </c>
      <c r="P368" s="20" t="n">
        <f aca="false">IF(OR($B368="Air",$B368="Open Blow"),$O368*60*Cost!$D$16*Cost!$D$17/Cost!$D$5*Cost!$D$13,0)</f>
        <v>0</v>
      </c>
      <c r="Q368" s="17"/>
      <c r="U368" s="16" t="str">
        <f aca="false">IF($D368="","",IF(ISNA(MATCH($B368,Cost!$H$5:$H$11,0)),"CHECK GAS TYPE",IF(OR($C368&lt;10,$C368&gt;150),"CHECK PRESSURE: outside 10-150 psi table",IF(OR($D368&lt;1,$D368&gt;120),"CHECK dB: outside 1-120 table",IF(ISNA(MATCH($C368,'Flow Curves'!$A$5:$A$11,0)),"INTERPOLATED between curves","Table curve")))))</f>
        <v/>
      </c>
      <c r="W368" s="2" t="str">
        <f aca="false">IF(OR($D368="",$C368=""),"",MATCH(MAX(10,MIN(150,$C368)),'Flow Curves'!$A$5:$A$11,1))</f>
        <v/>
      </c>
      <c r="X368" s="2" t="str">
        <f aca="false">IF($W368="","",MIN($W368+1,7))</f>
        <v/>
      </c>
      <c r="Y368" s="2" t="str">
        <f aca="false">IF($W368="","",INDEX('Flow Curves'!$B$5:$B$11,$W368)*POWER($D368,INDEX('Flow Curves'!$C$5:$C$11,$W368)))</f>
        <v/>
      </c>
      <c r="Z368" s="2" t="str">
        <f aca="false">IF($W368="","",INDEX('Flow Curves'!$B$5:$B$11,$X368)*POWER($D368,INDEX('Flow Curves'!$C$5:$C$11,$X368)))</f>
        <v/>
      </c>
    </row>
    <row r="369" customFormat="false" ht="15" hidden="false" customHeight="false" outlineLevel="0" collapsed="false">
      <c r="A369" s="16" t="n">
        <v>362</v>
      </c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8" t="n">
        <f aca="false">IF($O369=0,0,$O369*60*Cost!$D$16*Cost!$D$17*IFERROR(INDEX(Cost!$I$5:$I$11,MATCH($B369,Cost!$H$5:$H$11,0)),0)/Cost!$D$5)</f>
        <v>0</v>
      </c>
      <c r="O369" s="19" t="n">
        <f aca="false">IF($W369="",0,IF(INDEX('Flow Curves'!$A$5:$A$11,$X369)=INDEX('Flow Curves'!$A$5:$A$11,$W369),$Y369,$Y369+($Z369-$Y369)*(MAX(10,MIN(150,$C369))-INDEX('Flow Curves'!$A$5:$A$11,$W369))/(INDEX('Flow Curves'!$A$5:$A$11,$X369)-INDEX('Flow Curves'!$A$5:$A$11,$W369))))</f>
        <v>0</v>
      </c>
      <c r="P369" s="20" t="n">
        <f aca="false">IF(OR($B369="Air",$B369="Open Blow"),$O369*60*Cost!$D$16*Cost!$D$17/Cost!$D$5*Cost!$D$13,0)</f>
        <v>0</v>
      </c>
      <c r="Q369" s="17"/>
      <c r="U369" s="16" t="str">
        <f aca="false">IF($D369="","",IF(ISNA(MATCH($B369,Cost!$H$5:$H$11,0)),"CHECK GAS TYPE",IF(OR($C369&lt;10,$C369&gt;150),"CHECK PRESSURE: outside 10-150 psi table",IF(OR($D369&lt;1,$D369&gt;120),"CHECK dB: outside 1-120 table",IF(ISNA(MATCH($C369,'Flow Curves'!$A$5:$A$11,0)),"INTERPOLATED between curves","Table curve")))))</f>
        <v/>
      </c>
      <c r="W369" s="2" t="str">
        <f aca="false">IF(OR($D369="",$C369=""),"",MATCH(MAX(10,MIN(150,$C369)),'Flow Curves'!$A$5:$A$11,1))</f>
        <v/>
      </c>
      <c r="X369" s="2" t="str">
        <f aca="false">IF($W369="","",MIN($W369+1,7))</f>
        <v/>
      </c>
      <c r="Y369" s="2" t="str">
        <f aca="false">IF($W369="","",INDEX('Flow Curves'!$B$5:$B$11,$W369)*POWER($D369,INDEX('Flow Curves'!$C$5:$C$11,$W369)))</f>
        <v/>
      </c>
      <c r="Z369" s="2" t="str">
        <f aca="false">IF($W369="","",INDEX('Flow Curves'!$B$5:$B$11,$X369)*POWER($D369,INDEX('Flow Curves'!$C$5:$C$11,$X369)))</f>
        <v/>
      </c>
    </row>
    <row r="370" customFormat="false" ht="15" hidden="false" customHeight="false" outlineLevel="0" collapsed="false">
      <c r="A370" s="16" t="n">
        <v>363</v>
      </c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8" t="n">
        <f aca="false">IF($O370=0,0,$O370*60*Cost!$D$16*Cost!$D$17*IFERROR(INDEX(Cost!$I$5:$I$11,MATCH($B370,Cost!$H$5:$H$11,0)),0)/Cost!$D$5)</f>
        <v>0</v>
      </c>
      <c r="O370" s="19" t="n">
        <f aca="false">IF($W370="",0,IF(INDEX('Flow Curves'!$A$5:$A$11,$X370)=INDEX('Flow Curves'!$A$5:$A$11,$W370),$Y370,$Y370+($Z370-$Y370)*(MAX(10,MIN(150,$C370))-INDEX('Flow Curves'!$A$5:$A$11,$W370))/(INDEX('Flow Curves'!$A$5:$A$11,$X370)-INDEX('Flow Curves'!$A$5:$A$11,$W370))))</f>
        <v>0</v>
      </c>
      <c r="P370" s="20" t="n">
        <f aca="false">IF(OR($B370="Air",$B370="Open Blow"),$O370*60*Cost!$D$16*Cost!$D$17/Cost!$D$5*Cost!$D$13,0)</f>
        <v>0</v>
      </c>
      <c r="Q370" s="17"/>
      <c r="U370" s="16" t="str">
        <f aca="false">IF($D370="","",IF(ISNA(MATCH($B370,Cost!$H$5:$H$11,0)),"CHECK GAS TYPE",IF(OR($C370&lt;10,$C370&gt;150),"CHECK PRESSURE: outside 10-150 psi table",IF(OR($D370&lt;1,$D370&gt;120),"CHECK dB: outside 1-120 table",IF(ISNA(MATCH($C370,'Flow Curves'!$A$5:$A$11,0)),"INTERPOLATED between curves","Table curve")))))</f>
        <v/>
      </c>
      <c r="W370" s="2" t="str">
        <f aca="false">IF(OR($D370="",$C370=""),"",MATCH(MAX(10,MIN(150,$C370)),'Flow Curves'!$A$5:$A$11,1))</f>
        <v/>
      </c>
      <c r="X370" s="2" t="str">
        <f aca="false">IF($W370="","",MIN($W370+1,7))</f>
        <v/>
      </c>
      <c r="Y370" s="2" t="str">
        <f aca="false">IF($W370="","",INDEX('Flow Curves'!$B$5:$B$11,$W370)*POWER($D370,INDEX('Flow Curves'!$C$5:$C$11,$W370)))</f>
        <v/>
      </c>
      <c r="Z370" s="2" t="str">
        <f aca="false">IF($W370="","",INDEX('Flow Curves'!$B$5:$B$11,$X370)*POWER($D370,INDEX('Flow Curves'!$C$5:$C$11,$X370)))</f>
        <v/>
      </c>
    </row>
    <row r="371" customFormat="false" ht="15" hidden="false" customHeight="false" outlineLevel="0" collapsed="false">
      <c r="A371" s="16" t="n">
        <v>364</v>
      </c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8" t="n">
        <f aca="false">IF($O371=0,0,$O371*60*Cost!$D$16*Cost!$D$17*IFERROR(INDEX(Cost!$I$5:$I$11,MATCH($B371,Cost!$H$5:$H$11,0)),0)/Cost!$D$5)</f>
        <v>0</v>
      </c>
      <c r="O371" s="19" t="n">
        <f aca="false">IF($W371="",0,IF(INDEX('Flow Curves'!$A$5:$A$11,$X371)=INDEX('Flow Curves'!$A$5:$A$11,$W371),$Y371,$Y371+($Z371-$Y371)*(MAX(10,MIN(150,$C371))-INDEX('Flow Curves'!$A$5:$A$11,$W371))/(INDEX('Flow Curves'!$A$5:$A$11,$X371)-INDEX('Flow Curves'!$A$5:$A$11,$W371))))</f>
        <v>0</v>
      </c>
      <c r="P371" s="20" t="n">
        <f aca="false">IF(OR($B371="Air",$B371="Open Blow"),$O371*60*Cost!$D$16*Cost!$D$17/Cost!$D$5*Cost!$D$13,0)</f>
        <v>0</v>
      </c>
      <c r="Q371" s="17"/>
      <c r="U371" s="16" t="str">
        <f aca="false">IF($D371="","",IF(ISNA(MATCH($B371,Cost!$H$5:$H$11,0)),"CHECK GAS TYPE",IF(OR($C371&lt;10,$C371&gt;150),"CHECK PRESSURE: outside 10-150 psi table",IF(OR($D371&lt;1,$D371&gt;120),"CHECK dB: outside 1-120 table",IF(ISNA(MATCH($C371,'Flow Curves'!$A$5:$A$11,0)),"INTERPOLATED between curves","Table curve")))))</f>
        <v/>
      </c>
      <c r="W371" s="2" t="str">
        <f aca="false">IF(OR($D371="",$C371=""),"",MATCH(MAX(10,MIN(150,$C371)),'Flow Curves'!$A$5:$A$11,1))</f>
        <v/>
      </c>
      <c r="X371" s="2" t="str">
        <f aca="false">IF($W371="","",MIN($W371+1,7))</f>
        <v/>
      </c>
      <c r="Y371" s="2" t="str">
        <f aca="false">IF($W371="","",INDEX('Flow Curves'!$B$5:$B$11,$W371)*POWER($D371,INDEX('Flow Curves'!$C$5:$C$11,$W371)))</f>
        <v/>
      </c>
      <c r="Z371" s="2" t="str">
        <f aca="false">IF($W371="","",INDEX('Flow Curves'!$B$5:$B$11,$X371)*POWER($D371,INDEX('Flow Curves'!$C$5:$C$11,$X371)))</f>
        <v/>
      </c>
    </row>
    <row r="372" customFormat="false" ht="15" hidden="false" customHeight="false" outlineLevel="0" collapsed="false">
      <c r="A372" s="16" t="n">
        <v>365</v>
      </c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8" t="n">
        <f aca="false">IF($O372=0,0,$O372*60*Cost!$D$16*Cost!$D$17*IFERROR(INDEX(Cost!$I$5:$I$11,MATCH($B372,Cost!$H$5:$H$11,0)),0)/Cost!$D$5)</f>
        <v>0</v>
      </c>
      <c r="O372" s="19" t="n">
        <f aca="false">IF($W372="",0,IF(INDEX('Flow Curves'!$A$5:$A$11,$X372)=INDEX('Flow Curves'!$A$5:$A$11,$W372),$Y372,$Y372+($Z372-$Y372)*(MAX(10,MIN(150,$C372))-INDEX('Flow Curves'!$A$5:$A$11,$W372))/(INDEX('Flow Curves'!$A$5:$A$11,$X372)-INDEX('Flow Curves'!$A$5:$A$11,$W372))))</f>
        <v>0</v>
      </c>
      <c r="P372" s="20" t="n">
        <f aca="false">IF(OR($B372="Air",$B372="Open Blow"),$O372*60*Cost!$D$16*Cost!$D$17/Cost!$D$5*Cost!$D$13,0)</f>
        <v>0</v>
      </c>
      <c r="Q372" s="17"/>
      <c r="U372" s="16" t="str">
        <f aca="false">IF($D372="","",IF(ISNA(MATCH($B372,Cost!$H$5:$H$11,0)),"CHECK GAS TYPE",IF(OR($C372&lt;10,$C372&gt;150),"CHECK PRESSURE: outside 10-150 psi table",IF(OR($D372&lt;1,$D372&gt;120),"CHECK dB: outside 1-120 table",IF(ISNA(MATCH($C372,'Flow Curves'!$A$5:$A$11,0)),"INTERPOLATED between curves","Table curve")))))</f>
        <v/>
      </c>
      <c r="W372" s="2" t="str">
        <f aca="false">IF(OR($D372="",$C372=""),"",MATCH(MAX(10,MIN(150,$C372)),'Flow Curves'!$A$5:$A$11,1))</f>
        <v/>
      </c>
      <c r="X372" s="2" t="str">
        <f aca="false">IF($W372="","",MIN($W372+1,7))</f>
        <v/>
      </c>
      <c r="Y372" s="2" t="str">
        <f aca="false">IF($W372="","",INDEX('Flow Curves'!$B$5:$B$11,$W372)*POWER($D372,INDEX('Flow Curves'!$C$5:$C$11,$W372)))</f>
        <v/>
      </c>
      <c r="Z372" s="2" t="str">
        <f aca="false">IF($W372="","",INDEX('Flow Curves'!$B$5:$B$11,$X372)*POWER($D372,INDEX('Flow Curves'!$C$5:$C$11,$X372)))</f>
        <v/>
      </c>
    </row>
    <row r="373" customFormat="false" ht="15" hidden="false" customHeight="false" outlineLevel="0" collapsed="false">
      <c r="A373" s="16" t="n">
        <v>366</v>
      </c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8" t="n">
        <f aca="false">IF($O373=0,0,$O373*60*Cost!$D$16*Cost!$D$17*IFERROR(INDEX(Cost!$I$5:$I$11,MATCH($B373,Cost!$H$5:$H$11,0)),0)/Cost!$D$5)</f>
        <v>0</v>
      </c>
      <c r="O373" s="19" t="n">
        <f aca="false">IF($W373="",0,IF(INDEX('Flow Curves'!$A$5:$A$11,$X373)=INDEX('Flow Curves'!$A$5:$A$11,$W373),$Y373,$Y373+($Z373-$Y373)*(MAX(10,MIN(150,$C373))-INDEX('Flow Curves'!$A$5:$A$11,$W373))/(INDEX('Flow Curves'!$A$5:$A$11,$X373)-INDEX('Flow Curves'!$A$5:$A$11,$W373))))</f>
        <v>0</v>
      </c>
      <c r="P373" s="20" t="n">
        <f aca="false">IF(OR($B373="Air",$B373="Open Blow"),$O373*60*Cost!$D$16*Cost!$D$17/Cost!$D$5*Cost!$D$13,0)</f>
        <v>0</v>
      </c>
      <c r="Q373" s="17"/>
      <c r="U373" s="16" t="str">
        <f aca="false">IF($D373="","",IF(ISNA(MATCH($B373,Cost!$H$5:$H$11,0)),"CHECK GAS TYPE",IF(OR($C373&lt;10,$C373&gt;150),"CHECK PRESSURE: outside 10-150 psi table",IF(OR($D373&lt;1,$D373&gt;120),"CHECK dB: outside 1-120 table",IF(ISNA(MATCH($C373,'Flow Curves'!$A$5:$A$11,0)),"INTERPOLATED between curves","Table curve")))))</f>
        <v/>
      </c>
      <c r="W373" s="2" t="str">
        <f aca="false">IF(OR($D373="",$C373=""),"",MATCH(MAX(10,MIN(150,$C373)),'Flow Curves'!$A$5:$A$11,1))</f>
        <v/>
      </c>
      <c r="X373" s="2" t="str">
        <f aca="false">IF($W373="","",MIN($W373+1,7))</f>
        <v/>
      </c>
      <c r="Y373" s="2" t="str">
        <f aca="false">IF($W373="","",INDEX('Flow Curves'!$B$5:$B$11,$W373)*POWER($D373,INDEX('Flow Curves'!$C$5:$C$11,$W373)))</f>
        <v/>
      </c>
      <c r="Z373" s="2" t="str">
        <f aca="false">IF($W373="","",INDEX('Flow Curves'!$B$5:$B$11,$X373)*POWER($D373,INDEX('Flow Curves'!$C$5:$C$11,$X373)))</f>
        <v/>
      </c>
    </row>
    <row r="374" customFormat="false" ht="15" hidden="false" customHeight="false" outlineLevel="0" collapsed="false">
      <c r="A374" s="16" t="n">
        <v>367</v>
      </c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8" t="n">
        <f aca="false">IF($O374=0,0,$O374*60*Cost!$D$16*Cost!$D$17*IFERROR(INDEX(Cost!$I$5:$I$11,MATCH($B374,Cost!$H$5:$H$11,0)),0)/Cost!$D$5)</f>
        <v>0</v>
      </c>
      <c r="O374" s="19" t="n">
        <f aca="false">IF($W374="",0,IF(INDEX('Flow Curves'!$A$5:$A$11,$X374)=INDEX('Flow Curves'!$A$5:$A$11,$W374),$Y374,$Y374+($Z374-$Y374)*(MAX(10,MIN(150,$C374))-INDEX('Flow Curves'!$A$5:$A$11,$W374))/(INDEX('Flow Curves'!$A$5:$A$11,$X374)-INDEX('Flow Curves'!$A$5:$A$11,$W374))))</f>
        <v>0</v>
      </c>
      <c r="P374" s="20" t="n">
        <f aca="false">IF(OR($B374="Air",$B374="Open Blow"),$O374*60*Cost!$D$16*Cost!$D$17/Cost!$D$5*Cost!$D$13,0)</f>
        <v>0</v>
      </c>
      <c r="Q374" s="17"/>
      <c r="U374" s="16" t="str">
        <f aca="false">IF($D374="","",IF(ISNA(MATCH($B374,Cost!$H$5:$H$11,0)),"CHECK GAS TYPE",IF(OR($C374&lt;10,$C374&gt;150),"CHECK PRESSURE: outside 10-150 psi table",IF(OR($D374&lt;1,$D374&gt;120),"CHECK dB: outside 1-120 table",IF(ISNA(MATCH($C374,'Flow Curves'!$A$5:$A$11,0)),"INTERPOLATED between curves","Table curve")))))</f>
        <v/>
      </c>
      <c r="W374" s="2" t="str">
        <f aca="false">IF(OR($D374="",$C374=""),"",MATCH(MAX(10,MIN(150,$C374)),'Flow Curves'!$A$5:$A$11,1))</f>
        <v/>
      </c>
      <c r="X374" s="2" t="str">
        <f aca="false">IF($W374="","",MIN($W374+1,7))</f>
        <v/>
      </c>
      <c r="Y374" s="2" t="str">
        <f aca="false">IF($W374="","",INDEX('Flow Curves'!$B$5:$B$11,$W374)*POWER($D374,INDEX('Flow Curves'!$C$5:$C$11,$W374)))</f>
        <v/>
      </c>
      <c r="Z374" s="2" t="str">
        <f aca="false">IF($W374="","",INDEX('Flow Curves'!$B$5:$B$11,$X374)*POWER($D374,INDEX('Flow Curves'!$C$5:$C$11,$X374)))</f>
        <v/>
      </c>
    </row>
    <row r="375" customFormat="false" ht="15" hidden="false" customHeight="false" outlineLevel="0" collapsed="false">
      <c r="A375" s="16" t="n">
        <v>368</v>
      </c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8" t="n">
        <f aca="false">IF($O375=0,0,$O375*60*Cost!$D$16*Cost!$D$17*IFERROR(INDEX(Cost!$I$5:$I$11,MATCH($B375,Cost!$H$5:$H$11,0)),0)/Cost!$D$5)</f>
        <v>0</v>
      </c>
      <c r="O375" s="19" t="n">
        <f aca="false">IF($W375="",0,IF(INDEX('Flow Curves'!$A$5:$A$11,$X375)=INDEX('Flow Curves'!$A$5:$A$11,$W375),$Y375,$Y375+($Z375-$Y375)*(MAX(10,MIN(150,$C375))-INDEX('Flow Curves'!$A$5:$A$11,$W375))/(INDEX('Flow Curves'!$A$5:$A$11,$X375)-INDEX('Flow Curves'!$A$5:$A$11,$W375))))</f>
        <v>0</v>
      </c>
      <c r="P375" s="20" t="n">
        <f aca="false">IF(OR($B375="Air",$B375="Open Blow"),$O375*60*Cost!$D$16*Cost!$D$17/Cost!$D$5*Cost!$D$13,0)</f>
        <v>0</v>
      </c>
      <c r="Q375" s="17"/>
      <c r="U375" s="16" t="str">
        <f aca="false">IF($D375="","",IF(ISNA(MATCH($B375,Cost!$H$5:$H$11,0)),"CHECK GAS TYPE",IF(OR($C375&lt;10,$C375&gt;150),"CHECK PRESSURE: outside 10-150 psi table",IF(OR($D375&lt;1,$D375&gt;120),"CHECK dB: outside 1-120 table",IF(ISNA(MATCH($C375,'Flow Curves'!$A$5:$A$11,0)),"INTERPOLATED between curves","Table curve")))))</f>
        <v/>
      </c>
      <c r="W375" s="2" t="str">
        <f aca="false">IF(OR($D375="",$C375=""),"",MATCH(MAX(10,MIN(150,$C375)),'Flow Curves'!$A$5:$A$11,1))</f>
        <v/>
      </c>
      <c r="X375" s="2" t="str">
        <f aca="false">IF($W375="","",MIN($W375+1,7))</f>
        <v/>
      </c>
      <c r="Y375" s="2" t="str">
        <f aca="false">IF($W375="","",INDEX('Flow Curves'!$B$5:$B$11,$W375)*POWER($D375,INDEX('Flow Curves'!$C$5:$C$11,$W375)))</f>
        <v/>
      </c>
      <c r="Z375" s="2" t="str">
        <f aca="false">IF($W375="","",INDEX('Flow Curves'!$B$5:$B$11,$X375)*POWER($D375,INDEX('Flow Curves'!$C$5:$C$11,$X375)))</f>
        <v/>
      </c>
    </row>
    <row r="376" customFormat="false" ht="15" hidden="false" customHeight="false" outlineLevel="0" collapsed="false">
      <c r="A376" s="16" t="n">
        <v>369</v>
      </c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8" t="n">
        <f aca="false">IF($O376=0,0,$O376*60*Cost!$D$16*Cost!$D$17*IFERROR(INDEX(Cost!$I$5:$I$11,MATCH($B376,Cost!$H$5:$H$11,0)),0)/Cost!$D$5)</f>
        <v>0</v>
      </c>
      <c r="O376" s="19" t="n">
        <f aca="false">IF($W376="",0,IF(INDEX('Flow Curves'!$A$5:$A$11,$X376)=INDEX('Flow Curves'!$A$5:$A$11,$W376),$Y376,$Y376+($Z376-$Y376)*(MAX(10,MIN(150,$C376))-INDEX('Flow Curves'!$A$5:$A$11,$W376))/(INDEX('Flow Curves'!$A$5:$A$11,$X376)-INDEX('Flow Curves'!$A$5:$A$11,$W376))))</f>
        <v>0</v>
      </c>
      <c r="P376" s="20" t="n">
        <f aca="false">IF(OR($B376="Air",$B376="Open Blow"),$O376*60*Cost!$D$16*Cost!$D$17/Cost!$D$5*Cost!$D$13,0)</f>
        <v>0</v>
      </c>
      <c r="Q376" s="17"/>
      <c r="U376" s="16" t="str">
        <f aca="false">IF($D376="","",IF(ISNA(MATCH($B376,Cost!$H$5:$H$11,0)),"CHECK GAS TYPE",IF(OR($C376&lt;10,$C376&gt;150),"CHECK PRESSURE: outside 10-150 psi table",IF(OR($D376&lt;1,$D376&gt;120),"CHECK dB: outside 1-120 table",IF(ISNA(MATCH($C376,'Flow Curves'!$A$5:$A$11,0)),"INTERPOLATED between curves","Table curve")))))</f>
        <v/>
      </c>
      <c r="W376" s="2" t="str">
        <f aca="false">IF(OR($D376="",$C376=""),"",MATCH(MAX(10,MIN(150,$C376)),'Flow Curves'!$A$5:$A$11,1))</f>
        <v/>
      </c>
      <c r="X376" s="2" t="str">
        <f aca="false">IF($W376="","",MIN($W376+1,7))</f>
        <v/>
      </c>
      <c r="Y376" s="2" t="str">
        <f aca="false">IF($W376="","",INDEX('Flow Curves'!$B$5:$B$11,$W376)*POWER($D376,INDEX('Flow Curves'!$C$5:$C$11,$W376)))</f>
        <v/>
      </c>
      <c r="Z376" s="2" t="str">
        <f aca="false">IF($W376="","",INDEX('Flow Curves'!$B$5:$B$11,$X376)*POWER($D376,INDEX('Flow Curves'!$C$5:$C$11,$X376)))</f>
        <v/>
      </c>
    </row>
    <row r="377" customFormat="false" ht="15" hidden="false" customHeight="false" outlineLevel="0" collapsed="false">
      <c r="A377" s="16" t="n">
        <v>370</v>
      </c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8" t="n">
        <f aca="false">IF($O377=0,0,$O377*60*Cost!$D$16*Cost!$D$17*IFERROR(INDEX(Cost!$I$5:$I$11,MATCH($B377,Cost!$H$5:$H$11,0)),0)/Cost!$D$5)</f>
        <v>0</v>
      </c>
      <c r="O377" s="19" t="n">
        <f aca="false">IF($W377="",0,IF(INDEX('Flow Curves'!$A$5:$A$11,$X377)=INDEX('Flow Curves'!$A$5:$A$11,$W377),$Y377,$Y377+($Z377-$Y377)*(MAX(10,MIN(150,$C377))-INDEX('Flow Curves'!$A$5:$A$11,$W377))/(INDEX('Flow Curves'!$A$5:$A$11,$X377)-INDEX('Flow Curves'!$A$5:$A$11,$W377))))</f>
        <v>0</v>
      </c>
      <c r="P377" s="20" t="n">
        <f aca="false">IF(OR($B377="Air",$B377="Open Blow"),$O377*60*Cost!$D$16*Cost!$D$17/Cost!$D$5*Cost!$D$13,0)</f>
        <v>0</v>
      </c>
      <c r="Q377" s="17"/>
      <c r="U377" s="16" t="str">
        <f aca="false">IF($D377="","",IF(ISNA(MATCH($B377,Cost!$H$5:$H$11,0)),"CHECK GAS TYPE",IF(OR($C377&lt;10,$C377&gt;150),"CHECK PRESSURE: outside 10-150 psi table",IF(OR($D377&lt;1,$D377&gt;120),"CHECK dB: outside 1-120 table",IF(ISNA(MATCH($C377,'Flow Curves'!$A$5:$A$11,0)),"INTERPOLATED between curves","Table curve")))))</f>
        <v/>
      </c>
      <c r="W377" s="2" t="str">
        <f aca="false">IF(OR($D377="",$C377=""),"",MATCH(MAX(10,MIN(150,$C377)),'Flow Curves'!$A$5:$A$11,1))</f>
        <v/>
      </c>
      <c r="X377" s="2" t="str">
        <f aca="false">IF($W377="","",MIN($W377+1,7))</f>
        <v/>
      </c>
      <c r="Y377" s="2" t="str">
        <f aca="false">IF($W377="","",INDEX('Flow Curves'!$B$5:$B$11,$W377)*POWER($D377,INDEX('Flow Curves'!$C$5:$C$11,$W377)))</f>
        <v/>
      </c>
      <c r="Z377" s="2" t="str">
        <f aca="false">IF($W377="","",INDEX('Flow Curves'!$B$5:$B$11,$X377)*POWER($D377,INDEX('Flow Curves'!$C$5:$C$11,$X377)))</f>
        <v/>
      </c>
    </row>
    <row r="378" customFormat="false" ht="15" hidden="false" customHeight="false" outlineLevel="0" collapsed="false">
      <c r="A378" s="16" t="n">
        <v>371</v>
      </c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8" t="n">
        <f aca="false">IF($O378=0,0,$O378*60*Cost!$D$16*Cost!$D$17*IFERROR(INDEX(Cost!$I$5:$I$11,MATCH($B378,Cost!$H$5:$H$11,0)),0)/Cost!$D$5)</f>
        <v>0</v>
      </c>
      <c r="O378" s="19" t="n">
        <f aca="false">IF($W378="",0,IF(INDEX('Flow Curves'!$A$5:$A$11,$X378)=INDEX('Flow Curves'!$A$5:$A$11,$W378),$Y378,$Y378+($Z378-$Y378)*(MAX(10,MIN(150,$C378))-INDEX('Flow Curves'!$A$5:$A$11,$W378))/(INDEX('Flow Curves'!$A$5:$A$11,$X378)-INDEX('Flow Curves'!$A$5:$A$11,$W378))))</f>
        <v>0</v>
      </c>
      <c r="P378" s="20" t="n">
        <f aca="false">IF(OR($B378="Air",$B378="Open Blow"),$O378*60*Cost!$D$16*Cost!$D$17/Cost!$D$5*Cost!$D$13,0)</f>
        <v>0</v>
      </c>
      <c r="Q378" s="17"/>
      <c r="U378" s="16" t="str">
        <f aca="false">IF($D378="","",IF(ISNA(MATCH($B378,Cost!$H$5:$H$11,0)),"CHECK GAS TYPE",IF(OR($C378&lt;10,$C378&gt;150),"CHECK PRESSURE: outside 10-150 psi table",IF(OR($D378&lt;1,$D378&gt;120),"CHECK dB: outside 1-120 table",IF(ISNA(MATCH($C378,'Flow Curves'!$A$5:$A$11,0)),"INTERPOLATED between curves","Table curve")))))</f>
        <v/>
      </c>
      <c r="W378" s="2" t="str">
        <f aca="false">IF(OR($D378="",$C378=""),"",MATCH(MAX(10,MIN(150,$C378)),'Flow Curves'!$A$5:$A$11,1))</f>
        <v/>
      </c>
      <c r="X378" s="2" t="str">
        <f aca="false">IF($W378="","",MIN($W378+1,7))</f>
        <v/>
      </c>
      <c r="Y378" s="2" t="str">
        <f aca="false">IF($W378="","",INDEX('Flow Curves'!$B$5:$B$11,$W378)*POWER($D378,INDEX('Flow Curves'!$C$5:$C$11,$W378)))</f>
        <v/>
      </c>
      <c r="Z378" s="2" t="str">
        <f aca="false">IF($W378="","",INDEX('Flow Curves'!$B$5:$B$11,$X378)*POWER($D378,INDEX('Flow Curves'!$C$5:$C$11,$X378)))</f>
        <v/>
      </c>
    </row>
    <row r="379" customFormat="false" ht="15" hidden="false" customHeight="false" outlineLevel="0" collapsed="false">
      <c r="A379" s="16" t="n">
        <v>372</v>
      </c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8" t="n">
        <f aca="false">IF($O379=0,0,$O379*60*Cost!$D$16*Cost!$D$17*IFERROR(INDEX(Cost!$I$5:$I$11,MATCH($B379,Cost!$H$5:$H$11,0)),0)/Cost!$D$5)</f>
        <v>0</v>
      </c>
      <c r="O379" s="19" t="n">
        <f aca="false">IF($W379="",0,IF(INDEX('Flow Curves'!$A$5:$A$11,$X379)=INDEX('Flow Curves'!$A$5:$A$11,$W379),$Y379,$Y379+($Z379-$Y379)*(MAX(10,MIN(150,$C379))-INDEX('Flow Curves'!$A$5:$A$11,$W379))/(INDEX('Flow Curves'!$A$5:$A$11,$X379)-INDEX('Flow Curves'!$A$5:$A$11,$W379))))</f>
        <v>0</v>
      </c>
      <c r="P379" s="20" t="n">
        <f aca="false">IF(OR($B379="Air",$B379="Open Blow"),$O379*60*Cost!$D$16*Cost!$D$17/Cost!$D$5*Cost!$D$13,0)</f>
        <v>0</v>
      </c>
      <c r="Q379" s="17"/>
      <c r="U379" s="16" t="str">
        <f aca="false">IF($D379="","",IF(ISNA(MATCH($B379,Cost!$H$5:$H$11,0)),"CHECK GAS TYPE",IF(OR($C379&lt;10,$C379&gt;150),"CHECK PRESSURE: outside 10-150 psi table",IF(OR($D379&lt;1,$D379&gt;120),"CHECK dB: outside 1-120 table",IF(ISNA(MATCH($C379,'Flow Curves'!$A$5:$A$11,0)),"INTERPOLATED between curves","Table curve")))))</f>
        <v/>
      </c>
      <c r="W379" s="2" t="str">
        <f aca="false">IF(OR($D379="",$C379=""),"",MATCH(MAX(10,MIN(150,$C379)),'Flow Curves'!$A$5:$A$11,1))</f>
        <v/>
      </c>
      <c r="X379" s="2" t="str">
        <f aca="false">IF($W379="","",MIN($W379+1,7))</f>
        <v/>
      </c>
      <c r="Y379" s="2" t="str">
        <f aca="false">IF($W379="","",INDEX('Flow Curves'!$B$5:$B$11,$W379)*POWER($D379,INDEX('Flow Curves'!$C$5:$C$11,$W379)))</f>
        <v/>
      </c>
      <c r="Z379" s="2" t="str">
        <f aca="false">IF($W379="","",INDEX('Flow Curves'!$B$5:$B$11,$X379)*POWER($D379,INDEX('Flow Curves'!$C$5:$C$11,$X379)))</f>
        <v/>
      </c>
    </row>
    <row r="380" customFormat="false" ht="15" hidden="false" customHeight="false" outlineLevel="0" collapsed="false">
      <c r="A380" s="16" t="n">
        <v>373</v>
      </c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8" t="n">
        <f aca="false">IF($O380=0,0,$O380*60*Cost!$D$16*Cost!$D$17*IFERROR(INDEX(Cost!$I$5:$I$11,MATCH($B380,Cost!$H$5:$H$11,0)),0)/Cost!$D$5)</f>
        <v>0</v>
      </c>
      <c r="O380" s="19" t="n">
        <f aca="false">IF($W380="",0,IF(INDEX('Flow Curves'!$A$5:$A$11,$X380)=INDEX('Flow Curves'!$A$5:$A$11,$W380),$Y380,$Y380+($Z380-$Y380)*(MAX(10,MIN(150,$C380))-INDEX('Flow Curves'!$A$5:$A$11,$W380))/(INDEX('Flow Curves'!$A$5:$A$11,$X380)-INDEX('Flow Curves'!$A$5:$A$11,$W380))))</f>
        <v>0</v>
      </c>
      <c r="P380" s="20" t="n">
        <f aca="false">IF(OR($B380="Air",$B380="Open Blow"),$O380*60*Cost!$D$16*Cost!$D$17/Cost!$D$5*Cost!$D$13,0)</f>
        <v>0</v>
      </c>
      <c r="Q380" s="17"/>
      <c r="U380" s="16" t="str">
        <f aca="false">IF($D380="","",IF(ISNA(MATCH($B380,Cost!$H$5:$H$11,0)),"CHECK GAS TYPE",IF(OR($C380&lt;10,$C380&gt;150),"CHECK PRESSURE: outside 10-150 psi table",IF(OR($D380&lt;1,$D380&gt;120),"CHECK dB: outside 1-120 table",IF(ISNA(MATCH($C380,'Flow Curves'!$A$5:$A$11,0)),"INTERPOLATED between curves","Table curve")))))</f>
        <v/>
      </c>
      <c r="W380" s="2" t="str">
        <f aca="false">IF(OR($D380="",$C380=""),"",MATCH(MAX(10,MIN(150,$C380)),'Flow Curves'!$A$5:$A$11,1))</f>
        <v/>
      </c>
      <c r="X380" s="2" t="str">
        <f aca="false">IF($W380="","",MIN($W380+1,7))</f>
        <v/>
      </c>
      <c r="Y380" s="2" t="str">
        <f aca="false">IF($W380="","",INDEX('Flow Curves'!$B$5:$B$11,$W380)*POWER($D380,INDEX('Flow Curves'!$C$5:$C$11,$W380)))</f>
        <v/>
      </c>
      <c r="Z380" s="2" t="str">
        <f aca="false">IF($W380="","",INDEX('Flow Curves'!$B$5:$B$11,$X380)*POWER($D380,INDEX('Flow Curves'!$C$5:$C$11,$X380)))</f>
        <v/>
      </c>
    </row>
    <row r="381" customFormat="false" ht="15" hidden="false" customHeight="false" outlineLevel="0" collapsed="false">
      <c r="A381" s="16" t="n">
        <v>374</v>
      </c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8" t="n">
        <f aca="false">IF($O381=0,0,$O381*60*Cost!$D$16*Cost!$D$17*IFERROR(INDEX(Cost!$I$5:$I$11,MATCH($B381,Cost!$H$5:$H$11,0)),0)/Cost!$D$5)</f>
        <v>0</v>
      </c>
      <c r="O381" s="19" t="n">
        <f aca="false">IF($W381="",0,IF(INDEX('Flow Curves'!$A$5:$A$11,$X381)=INDEX('Flow Curves'!$A$5:$A$11,$W381),$Y381,$Y381+($Z381-$Y381)*(MAX(10,MIN(150,$C381))-INDEX('Flow Curves'!$A$5:$A$11,$W381))/(INDEX('Flow Curves'!$A$5:$A$11,$X381)-INDEX('Flow Curves'!$A$5:$A$11,$W381))))</f>
        <v>0</v>
      </c>
      <c r="P381" s="20" t="n">
        <f aca="false">IF(OR($B381="Air",$B381="Open Blow"),$O381*60*Cost!$D$16*Cost!$D$17/Cost!$D$5*Cost!$D$13,0)</f>
        <v>0</v>
      </c>
      <c r="Q381" s="17"/>
      <c r="U381" s="16" t="str">
        <f aca="false">IF($D381="","",IF(ISNA(MATCH($B381,Cost!$H$5:$H$11,0)),"CHECK GAS TYPE",IF(OR($C381&lt;10,$C381&gt;150),"CHECK PRESSURE: outside 10-150 psi table",IF(OR($D381&lt;1,$D381&gt;120),"CHECK dB: outside 1-120 table",IF(ISNA(MATCH($C381,'Flow Curves'!$A$5:$A$11,0)),"INTERPOLATED between curves","Table curve")))))</f>
        <v/>
      </c>
      <c r="W381" s="2" t="str">
        <f aca="false">IF(OR($D381="",$C381=""),"",MATCH(MAX(10,MIN(150,$C381)),'Flow Curves'!$A$5:$A$11,1))</f>
        <v/>
      </c>
      <c r="X381" s="2" t="str">
        <f aca="false">IF($W381="","",MIN($W381+1,7))</f>
        <v/>
      </c>
      <c r="Y381" s="2" t="str">
        <f aca="false">IF($W381="","",INDEX('Flow Curves'!$B$5:$B$11,$W381)*POWER($D381,INDEX('Flow Curves'!$C$5:$C$11,$W381)))</f>
        <v/>
      </c>
      <c r="Z381" s="2" t="str">
        <f aca="false">IF($W381="","",INDEX('Flow Curves'!$B$5:$B$11,$X381)*POWER($D381,INDEX('Flow Curves'!$C$5:$C$11,$X381)))</f>
        <v/>
      </c>
    </row>
    <row r="382" customFormat="false" ht="15" hidden="false" customHeight="false" outlineLevel="0" collapsed="false">
      <c r="A382" s="16" t="n">
        <v>375</v>
      </c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8" t="n">
        <f aca="false">IF($O382=0,0,$O382*60*Cost!$D$16*Cost!$D$17*IFERROR(INDEX(Cost!$I$5:$I$11,MATCH($B382,Cost!$H$5:$H$11,0)),0)/Cost!$D$5)</f>
        <v>0</v>
      </c>
      <c r="O382" s="19" t="n">
        <f aca="false">IF($W382="",0,IF(INDEX('Flow Curves'!$A$5:$A$11,$X382)=INDEX('Flow Curves'!$A$5:$A$11,$W382),$Y382,$Y382+($Z382-$Y382)*(MAX(10,MIN(150,$C382))-INDEX('Flow Curves'!$A$5:$A$11,$W382))/(INDEX('Flow Curves'!$A$5:$A$11,$X382)-INDEX('Flow Curves'!$A$5:$A$11,$W382))))</f>
        <v>0</v>
      </c>
      <c r="P382" s="20" t="n">
        <f aca="false">IF(OR($B382="Air",$B382="Open Blow"),$O382*60*Cost!$D$16*Cost!$D$17/Cost!$D$5*Cost!$D$13,0)</f>
        <v>0</v>
      </c>
      <c r="Q382" s="17"/>
      <c r="U382" s="16" t="str">
        <f aca="false">IF($D382="","",IF(ISNA(MATCH($B382,Cost!$H$5:$H$11,0)),"CHECK GAS TYPE",IF(OR($C382&lt;10,$C382&gt;150),"CHECK PRESSURE: outside 10-150 psi table",IF(OR($D382&lt;1,$D382&gt;120),"CHECK dB: outside 1-120 table",IF(ISNA(MATCH($C382,'Flow Curves'!$A$5:$A$11,0)),"INTERPOLATED between curves","Table curve")))))</f>
        <v/>
      </c>
      <c r="W382" s="2" t="str">
        <f aca="false">IF(OR($D382="",$C382=""),"",MATCH(MAX(10,MIN(150,$C382)),'Flow Curves'!$A$5:$A$11,1))</f>
        <v/>
      </c>
      <c r="X382" s="2" t="str">
        <f aca="false">IF($W382="","",MIN($W382+1,7))</f>
        <v/>
      </c>
      <c r="Y382" s="2" t="str">
        <f aca="false">IF($W382="","",INDEX('Flow Curves'!$B$5:$B$11,$W382)*POWER($D382,INDEX('Flow Curves'!$C$5:$C$11,$W382)))</f>
        <v/>
      </c>
      <c r="Z382" s="2" t="str">
        <f aca="false">IF($W382="","",INDEX('Flow Curves'!$B$5:$B$11,$X382)*POWER($D382,INDEX('Flow Curves'!$C$5:$C$11,$X382)))</f>
        <v/>
      </c>
    </row>
    <row r="383" customFormat="false" ht="15" hidden="false" customHeight="false" outlineLevel="0" collapsed="false">
      <c r="A383" s="16" t="n">
        <v>376</v>
      </c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8" t="n">
        <f aca="false">IF($O383=0,0,$O383*60*Cost!$D$16*Cost!$D$17*IFERROR(INDEX(Cost!$I$5:$I$11,MATCH($B383,Cost!$H$5:$H$11,0)),0)/Cost!$D$5)</f>
        <v>0</v>
      </c>
      <c r="O383" s="19" t="n">
        <f aca="false">IF($W383="",0,IF(INDEX('Flow Curves'!$A$5:$A$11,$X383)=INDEX('Flow Curves'!$A$5:$A$11,$W383),$Y383,$Y383+($Z383-$Y383)*(MAX(10,MIN(150,$C383))-INDEX('Flow Curves'!$A$5:$A$11,$W383))/(INDEX('Flow Curves'!$A$5:$A$11,$X383)-INDEX('Flow Curves'!$A$5:$A$11,$W383))))</f>
        <v>0</v>
      </c>
      <c r="P383" s="20" t="n">
        <f aca="false">IF(OR($B383="Air",$B383="Open Blow"),$O383*60*Cost!$D$16*Cost!$D$17/Cost!$D$5*Cost!$D$13,0)</f>
        <v>0</v>
      </c>
      <c r="Q383" s="17"/>
      <c r="U383" s="16" t="str">
        <f aca="false">IF($D383="","",IF(ISNA(MATCH($B383,Cost!$H$5:$H$11,0)),"CHECK GAS TYPE",IF(OR($C383&lt;10,$C383&gt;150),"CHECK PRESSURE: outside 10-150 psi table",IF(OR($D383&lt;1,$D383&gt;120),"CHECK dB: outside 1-120 table",IF(ISNA(MATCH($C383,'Flow Curves'!$A$5:$A$11,0)),"INTERPOLATED between curves","Table curve")))))</f>
        <v/>
      </c>
      <c r="W383" s="2" t="str">
        <f aca="false">IF(OR($D383="",$C383=""),"",MATCH(MAX(10,MIN(150,$C383)),'Flow Curves'!$A$5:$A$11,1))</f>
        <v/>
      </c>
      <c r="X383" s="2" t="str">
        <f aca="false">IF($W383="","",MIN($W383+1,7))</f>
        <v/>
      </c>
      <c r="Y383" s="2" t="str">
        <f aca="false">IF($W383="","",INDEX('Flow Curves'!$B$5:$B$11,$W383)*POWER($D383,INDEX('Flow Curves'!$C$5:$C$11,$W383)))</f>
        <v/>
      </c>
      <c r="Z383" s="2" t="str">
        <f aca="false">IF($W383="","",INDEX('Flow Curves'!$B$5:$B$11,$X383)*POWER($D383,INDEX('Flow Curves'!$C$5:$C$11,$X383)))</f>
        <v/>
      </c>
    </row>
    <row r="384" customFormat="false" ht="15" hidden="false" customHeight="false" outlineLevel="0" collapsed="false">
      <c r="A384" s="16" t="n">
        <v>377</v>
      </c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8" t="n">
        <f aca="false">IF($O384=0,0,$O384*60*Cost!$D$16*Cost!$D$17*IFERROR(INDEX(Cost!$I$5:$I$11,MATCH($B384,Cost!$H$5:$H$11,0)),0)/Cost!$D$5)</f>
        <v>0</v>
      </c>
      <c r="O384" s="19" t="n">
        <f aca="false">IF($W384="",0,IF(INDEX('Flow Curves'!$A$5:$A$11,$X384)=INDEX('Flow Curves'!$A$5:$A$11,$W384),$Y384,$Y384+($Z384-$Y384)*(MAX(10,MIN(150,$C384))-INDEX('Flow Curves'!$A$5:$A$11,$W384))/(INDEX('Flow Curves'!$A$5:$A$11,$X384)-INDEX('Flow Curves'!$A$5:$A$11,$W384))))</f>
        <v>0</v>
      </c>
      <c r="P384" s="20" t="n">
        <f aca="false">IF(OR($B384="Air",$B384="Open Blow"),$O384*60*Cost!$D$16*Cost!$D$17/Cost!$D$5*Cost!$D$13,0)</f>
        <v>0</v>
      </c>
      <c r="Q384" s="17"/>
      <c r="U384" s="16" t="str">
        <f aca="false">IF($D384="","",IF(ISNA(MATCH($B384,Cost!$H$5:$H$11,0)),"CHECK GAS TYPE",IF(OR($C384&lt;10,$C384&gt;150),"CHECK PRESSURE: outside 10-150 psi table",IF(OR($D384&lt;1,$D384&gt;120),"CHECK dB: outside 1-120 table",IF(ISNA(MATCH($C384,'Flow Curves'!$A$5:$A$11,0)),"INTERPOLATED between curves","Table curve")))))</f>
        <v/>
      </c>
      <c r="W384" s="2" t="str">
        <f aca="false">IF(OR($D384="",$C384=""),"",MATCH(MAX(10,MIN(150,$C384)),'Flow Curves'!$A$5:$A$11,1))</f>
        <v/>
      </c>
      <c r="X384" s="2" t="str">
        <f aca="false">IF($W384="","",MIN($W384+1,7))</f>
        <v/>
      </c>
      <c r="Y384" s="2" t="str">
        <f aca="false">IF($W384="","",INDEX('Flow Curves'!$B$5:$B$11,$W384)*POWER($D384,INDEX('Flow Curves'!$C$5:$C$11,$W384)))</f>
        <v/>
      </c>
      <c r="Z384" s="2" t="str">
        <f aca="false">IF($W384="","",INDEX('Flow Curves'!$B$5:$B$11,$X384)*POWER($D384,INDEX('Flow Curves'!$C$5:$C$11,$X384)))</f>
        <v/>
      </c>
    </row>
    <row r="385" customFormat="false" ht="15" hidden="false" customHeight="false" outlineLevel="0" collapsed="false">
      <c r="A385" s="16" t="n">
        <v>378</v>
      </c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8" t="n">
        <f aca="false">IF($O385=0,0,$O385*60*Cost!$D$16*Cost!$D$17*IFERROR(INDEX(Cost!$I$5:$I$11,MATCH($B385,Cost!$H$5:$H$11,0)),0)/Cost!$D$5)</f>
        <v>0</v>
      </c>
      <c r="O385" s="19" t="n">
        <f aca="false">IF($W385="",0,IF(INDEX('Flow Curves'!$A$5:$A$11,$X385)=INDEX('Flow Curves'!$A$5:$A$11,$W385),$Y385,$Y385+($Z385-$Y385)*(MAX(10,MIN(150,$C385))-INDEX('Flow Curves'!$A$5:$A$11,$W385))/(INDEX('Flow Curves'!$A$5:$A$11,$X385)-INDEX('Flow Curves'!$A$5:$A$11,$W385))))</f>
        <v>0</v>
      </c>
      <c r="P385" s="20" t="n">
        <f aca="false">IF(OR($B385="Air",$B385="Open Blow"),$O385*60*Cost!$D$16*Cost!$D$17/Cost!$D$5*Cost!$D$13,0)</f>
        <v>0</v>
      </c>
      <c r="Q385" s="17"/>
      <c r="U385" s="16" t="str">
        <f aca="false">IF($D385="","",IF(ISNA(MATCH($B385,Cost!$H$5:$H$11,0)),"CHECK GAS TYPE",IF(OR($C385&lt;10,$C385&gt;150),"CHECK PRESSURE: outside 10-150 psi table",IF(OR($D385&lt;1,$D385&gt;120),"CHECK dB: outside 1-120 table",IF(ISNA(MATCH($C385,'Flow Curves'!$A$5:$A$11,0)),"INTERPOLATED between curves","Table curve")))))</f>
        <v/>
      </c>
      <c r="W385" s="2" t="str">
        <f aca="false">IF(OR($D385="",$C385=""),"",MATCH(MAX(10,MIN(150,$C385)),'Flow Curves'!$A$5:$A$11,1))</f>
        <v/>
      </c>
      <c r="X385" s="2" t="str">
        <f aca="false">IF($W385="","",MIN($W385+1,7))</f>
        <v/>
      </c>
      <c r="Y385" s="2" t="str">
        <f aca="false">IF($W385="","",INDEX('Flow Curves'!$B$5:$B$11,$W385)*POWER($D385,INDEX('Flow Curves'!$C$5:$C$11,$W385)))</f>
        <v/>
      </c>
      <c r="Z385" s="2" t="str">
        <f aca="false">IF($W385="","",INDEX('Flow Curves'!$B$5:$B$11,$X385)*POWER($D385,INDEX('Flow Curves'!$C$5:$C$11,$X385)))</f>
        <v/>
      </c>
    </row>
    <row r="386" customFormat="false" ht="15" hidden="false" customHeight="false" outlineLevel="0" collapsed="false">
      <c r="A386" s="16" t="n">
        <v>379</v>
      </c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8" t="n">
        <f aca="false">IF($O386=0,0,$O386*60*Cost!$D$16*Cost!$D$17*IFERROR(INDEX(Cost!$I$5:$I$11,MATCH($B386,Cost!$H$5:$H$11,0)),0)/Cost!$D$5)</f>
        <v>0</v>
      </c>
      <c r="O386" s="19" t="n">
        <f aca="false">IF($W386="",0,IF(INDEX('Flow Curves'!$A$5:$A$11,$X386)=INDEX('Flow Curves'!$A$5:$A$11,$W386),$Y386,$Y386+($Z386-$Y386)*(MAX(10,MIN(150,$C386))-INDEX('Flow Curves'!$A$5:$A$11,$W386))/(INDEX('Flow Curves'!$A$5:$A$11,$X386)-INDEX('Flow Curves'!$A$5:$A$11,$W386))))</f>
        <v>0</v>
      </c>
      <c r="P386" s="20" t="n">
        <f aca="false">IF(OR($B386="Air",$B386="Open Blow"),$O386*60*Cost!$D$16*Cost!$D$17/Cost!$D$5*Cost!$D$13,0)</f>
        <v>0</v>
      </c>
      <c r="Q386" s="17"/>
      <c r="U386" s="16" t="str">
        <f aca="false">IF($D386="","",IF(ISNA(MATCH($B386,Cost!$H$5:$H$11,0)),"CHECK GAS TYPE",IF(OR($C386&lt;10,$C386&gt;150),"CHECK PRESSURE: outside 10-150 psi table",IF(OR($D386&lt;1,$D386&gt;120),"CHECK dB: outside 1-120 table",IF(ISNA(MATCH($C386,'Flow Curves'!$A$5:$A$11,0)),"INTERPOLATED between curves","Table curve")))))</f>
        <v/>
      </c>
      <c r="W386" s="2" t="str">
        <f aca="false">IF(OR($D386="",$C386=""),"",MATCH(MAX(10,MIN(150,$C386)),'Flow Curves'!$A$5:$A$11,1))</f>
        <v/>
      </c>
      <c r="X386" s="2" t="str">
        <f aca="false">IF($W386="","",MIN($W386+1,7))</f>
        <v/>
      </c>
      <c r="Y386" s="2" t="str">
        <f aca="false">IF($W386="","",INDEX('Flow Curves'!$B$5:$B$11,$W386)*POWER($D386,INDEX('Flow Curves'!$C$5:$C$11,$W386)))</f>
        <v/>
      </c>
      <c r="Z386" s="2" t="str">
        <f aca="false">IF($W386="","",INDEX('Flow Curves'!$B$5:$B$11,$X386)*POWER($D386,INDEX('Flow Curves'!$C$5:$C$11,$X386)))</f>
        <v/>
      </c>
    </row>
    <row r="387" customFormat="false" ht="15" hidden="false" customHeight="false" outlineLevel="0" collapsed="false">
      <c r="A387" s="16" t="n">
        <v>380</v>
      </c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8" t="n">
        <f aca="false">IF($O387=0,0,$O387*60*Cost!$D$16*Cost!$D$17*IFERROR(INDEX(Cost!$I$5:$I$11,MATCH($B387,Cost!$H$5:$H$11,0)),0)/Cost!$D$5)</f>
        <v>0</v>
      </c>
      <c r="O387" s="19" t="n">
        <f aca="false">IF($W387="",0,IF(INDEX('Flow Curves'!$A$5:$A$11,$X387)=INDEX('Flow Curves'!$A$5:$A$11,$W387),$Y387,$Y387+($Z387-$Y387)*(MAX(10,MIN(150,$C387))-INDEX('Flow Curves'!$A$5:$A$11,$W387))/(INDEX('Flow Curves'!$A$5:$A$11,$X387)-INDEX('Flow Curves'!$A$5:$A$11,$W387))))</f>
        <v>0</v>
      </c>
      <c r="P387" s="20" t="n">
        <f aca="false">IF(OR($B387="Air",$B387="Open Blow"),$O387*60*Cost!$D$16*Cost!$D$17/Cost!$D$5*Cost!$D$13,0)</f>
        <v>0</v>
      </c>
      <c r="Q387" s="17"/>
      <c r="U387" s="16" t="str">
        <f aca="false">IF($D387="","",IF(ISNA(MATCH($B387,Cost!$H$5:$H$11,0)),"CHECK GAS TYPE",IF(OR($C387&lt;10,$C387&gt;150),"CHECK PRESSURE: outside 10-150 psi table",IF(OR($D387&lt;1,$D387&gt;120),"CHECK dB: outside 1-120 table",IF(ISNA(MATCH($C387,'Flow Curves'!$A$5:$A$11,0)),"INTERPOLATED between curves","Table curve")))))</f>
        <v/>
      </c>
      <c r="W387" s="2" t="str">
        <f aca="false">IF(OR($D387="",$C387=""),"",MATCH(MAX(10,MIN(150,$C387)),'Flow Curves'!$A$5:$A$11,1))</f>
        <v/>
      </c>
      <c r="X387" s="2" t="str">
        <f aca="false">IF($W387="","",MIN($W387+1,7))</f>
        <v/>
      </c>
      <c r="Y387" s="2" t="str">
        <f aca="false">IF($W387="","",INDEX('Flow Curves'!$B$5:$B$11,$W387)*POWER($D387,INDEX('Flow Curves'!$C$5:$C$11,$W387)))</f>
        <v/>
      </c>
      <c r="Z387" s="2" t="str">
        <f aca="false">IF($W387="","",INDEX('Flow Curves'!$B$5:$B$11,$X387)*POWER($D387,INDEX('Flow Curves'!$C$5:$C$11,$X387)))</f>
        <v/>
      </c>
    </row>
    <row r="388" customFormat="false" ht="15" hidden="false" customHeight="false" outlineLevel="0" collapsed="false">
      <c r="A388" s="16" t="n">
        <v>381</v>
      </c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8" t="n">
        <f aca="false">IF($O388=0,0,$O388*60*Cost!$D$16*Cost!$D$17*IFERROR(INDEX(Cost!$I$5:$I$11,MATCH($B388,Cost!$H$5:$H$11,0)),0)/Cost!$D$5)</f>
        <v>0</v>
      </c>
      <c r="O388" s="19" t="n">
        <f aca="false">IF($W388="",0,IF(INDEX('Flow Curves'!$A$5:$A$11,$X388)=INDEX('Flow Curves'!$A$5:$A$11,$W388),$Y388,$Y388+($Z388-$Y388)*(MAX(10,MIN(150,$C388))-INDEX('Flow Curves'!$A$5:$A$11,$W388))/(INDEX('Flow Curves'!$A$5:$A$11,$X388)-INDEX('Flow Curves'!$A$5:$A$11,$W388))))</f>
        <v>0</v>
      </c>
      <c r="P388" s="20" t="n">
        <f aca="false">IF(OR($B388="Air",$B388="Open Blow"),$O388*60*Cost!$D$16*Cost!$D$17/Cost!$D$5*Cost!$D$13,0)</f>
        <v>0</v>
      </c>
      <c r="Q388" s="17"/>
      <c r="U388" s="16" t="str">
        <f aca="false">IF($D388="","",IF(ISNA(MATCH($B388,Cost!$H$5:$H$11,0)),"CHECK GAS TYPE",IF(OR($C388&lt;10,$C388&gt;150),"CHECK PRESSURE: outside 10-150 psi table",IF(OR($D388&lt;1,$D388&gt;120),"CHECK dB: outside 1-120 table",IF(ISNA(MATCH($C388,'Flow Curves'!$A$5:$A$11,0)),"INTERPOLATED between curves","Table curve")))))</f>
        <v/>
      </c>
      <c r="W388" s="2" t="str">
        <f aca="false">IF(OR($D388="",$C388=""),"",MATCH(MAX(10,MIN(150,$C388)),'Flow Curves'!$A$5:$A$11,1))</f>
        <v/>
      </c>
      <c r="X388" s="2" t="str">
        <f aca="false">IF($W388="","",MIN($W388+1,7))</f>
        <v/>
      </c>
      <c r="Y388" s="2" t="str">
        <f aca="false">IF($W388="","",INDEX('Flow Curves'!$B$5:$B$11,$W388)*POWER($D388,INDEX('Flow Curves'!$C$5:$C$11,$W388)))</f>
        <v/>
      </c>
      <c r="Z388" s="2" t="str">
        <f aca="false">IF($W388="","",INDEX('Flow Curves'!$B$5:$B$11,$X388)*POWER($D388,INDEX('Flow Curves'!$C$5:$C$11,$X388)))</f>
        <v/>
      </c>
    </row>
    <row r="389" customFormat="false" ht="15" hidden="false" customHeight="false" outlineLevel="0" collapsed="false">
      <c r="A389" s="16" t="n">
        <v>382</v>
      </c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8" t="n">
        <f aca="false">IF($O389=0,0,$O389*60*Cost!$D$16*Cost!$D$17*IFERROR(INDEX(Cost!$I$5:$I$11,MATCH($B389,Cost!$H$5:$H$11,0)),0)/Cost!$D$5)</f>
        <v>0</v>
      </c>
      <c r="O389" s="19" t="n">
        <f aca="false">IF($W389="",0,IF(INDEX('Flow Curves'!$A$5:$A$11,$X389)=INDEX('Flow Curves'!$A$5:$A$11,$W389),$Y389,$Y389+($Z389-$Y389)*(MAX(10,MIN(150,$C389))-INDEX('Flow Curves'!$A$5:$A$11,$W389))/(INDEX('Flow Curves'!$A$5:$A$11,$X389)-INDEX('Flow Curves'!$A$5:$A$11,$W389))))</f>
        <v>0</v>
      </c>
      <c r="P389" s="20" t="n">
        <f aca="false">IF(OR($B389="Air",$B389="Open Blow"),$O389*60*Cost!$D$16*Cost!$D$17/Cost!$D$5*Cost!$D$13,0)</f>
        <v>0</v>
      </c>
      <c r="Q389" s="17"/>
      <c r="U389" s="16" t="str">
        <f aca="false">IF($D389="","",IF(ISNA(MATCH($B389,Cost!$H$5:$H$11,0)),"CHECK GAS TYPE",IF(OR($C389&lt;10,$C389&gt;150),"CHECK PRESSURE: outside 10-150 psi table",IF(OR($D389&lt;1,$D389&gt;120),"CHECK dB: outside 1-120 table",IF(ISNA(MATCH($C389,'Flow Curves'!$A$5:$A$11,0)),"INTERPOLATED between curves","Table curve")))))</f>
        <v/>
      </c>
      <c r="W389" s="2" t="str">
        <f aca="false">IF(OR($D389="",$C389=""),"",MATCH(MAX(10,MIN(150,$C389)),'Flow Curves'!$A$5:$A$11,1))</f>
        <v/>
      </c>
      <c r="X389" s="2" t="str">
        <f aca="false">IF($W389="","",MIN($W389+1,7))</f>
        <v/>
      </c>
      <c r="Y389" s="2" t="str">
        <f aca="false">IF($W389="","",INDEX('Flow Curves'!$B$5:$B$11,$W389)*POWER($D389,INDEX('Flow Curves'!$C$5:$C$11,$W389)))</f>
        <v/>
      </c>
      <c r="Z389" s="2" t="str">
        <f aca="false">IF($W389="","",INDEX('Flow Curves'!$B$5:$B$11,$X389)*POWER($D389,INDEX('Flow Curves'!$C$5:$C$11,$X389)))</f>
        <v/>
      </c>
    </row>
    <row r="390" customFormat="false" ht="15" hidden="false" customHeight="false" outlineLevel="0" collapsed="false">
      <c r="A390" s="16" t="n">
        <v>383</v>
      </c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8" t="n">
        <f aca="false">IF($O390=0,0,$O390*60*Cost!$D$16*Cost!$D$17*IFERROR(INDEX(Cost!$I$5:$I$11,MATCH($B390,Cost!$H$5:$H$11,0)),0)/Cost!$D$5)</f>
        <v>0</v>
      </c>
      <c r="O390" s="19" t="n">
        <f aca="false">IF($W390="",0,IF(INDEX('Flow Curves'!$A$5:$A$11,$X390)=INDEX('Flow Curves'!$A$5:$A$11,$W390),$Y390,$Y390+($Z390-$Y390)*(MAX(10,MIN(150,$C390))-INDEX('Flow Curves'!$A$5:$A$11,$W390))/(INDEX('Flow Curves'!$A$5:$A$11,$X390)-INDEX('Flow Curves'!$A$5:$A$11,$W390))))</f>
        <v>0</v>
      </c>
      <c r="P390" s="20" t="n">
        <f aca="false">IF(OR($B390="Air",$B390="Open Blow"),$O390*60*Cost!$D$16*Cost!$D$17/Cost!$D$5*Cost!$D$13,0)</f>
        <v>0</v>
      </c>
      <c r="Q390" s="17"/>
      <c r="U390" s="16" t="str">
        <f aca="false">IF($D390="","",IF(ISNA(MATCH($B390,Cost!$H$5:$H$11,0)),"CHECK GAS TYPE",IF(OR($C390&lt;10,$C390&gt;150),"CHECK PRESSURE: outside 10-150 psi table",IF(OR($D390&lt;1,$D390&gt;120),"CHECK dB: outside 1-120 table",IF(ISNA(MATCH($C390,'Flow Curves'!$A$5:$A$11,0)),"INTERPOLATED between curves","Table curve")))))</f>
        <v/>
      </c>
      <c r="W390" s="2" t="str">
        <f aca="false">IF(OR($D390="",$C390=""),"",MATCH(MAX(10,MIN(150,$C390)),'Flow Curves'!$A$5:$A$11,1))</f>
        <v/>
      </c>
      <c r="X390" s="2" t="str">
        <f aca="false">IF($W390="","",MIN($W390+1,7))</f>
        <v/>
      </c>
      <c r="Y390" s="2" t="str">
        <f aca="false">IF($W390="","",INDEX('Flow Curves'!$B$5:$B$11,$W390)*POWER($D390,INDEX('Flow Curves'!$C$5:$C$11,$W390)))</f>
        <v/>
      </c>
      <c r="Z390" s="2" t="str">
        <f aca="false">IF($W390="","",INDEX('Flow Curves'!$B$5:$B$11,$X390)*POWER($D390,INDEX('Flow Curves'!$C$5:$C$11,$X390)))</f>
        <v/>
      </c>
    </row>
    <row r="391" customFormat="false" ht="15" hidden="false" customHeight="false" outlineLevel="0" collapsed="false">
      <c r="A391" s="16" t="n">
        <v>384</v>
      </c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8" t="n">
        <f aca="false">IF($O391=0,0,$O391*60*Cost!$D$16*Cost!$D$17*IFERROR(INDEX(Cost!$I$5:$I$11,MATCH($B391,Cost!$H$5:$H$11,0)),0)/Cost!$D$5)</f>
        <v>0</v>
      </c>
      <c r="O391" s="19" t="n">
        <f aca="false">IF($W391="",0,IF(INDEX('Flow Curves'!$A$5:$A$11,$X391)=INDEX('Flow Curves'!$A$5:$A$11,$W391),$Y391,$Y391+($Z391-$Y391)*(MAX(10,MIN(150,$C391))-INDEX('Flow Curves'!$A$5:$A$11,$W391))/(INDEX('Flow Curves'!$A$5:$A$11,$X391)-INDEX('Flow Curves'!$A$5:$A$11,$W391))))</f>
        <v>0</v>
      </c>
      <c r="P391" s="20" t="n">
        <f aca="false">IF(OR($B391="Air",$B391="Open Blow"),$O391*60*Cost!$D$16*Cost!$D$17/Cost!$D$5*Cost!$D$13,0)</f>
        <v>0</v>
      </c>
      <c r="Q391" s="17"/>
      <c r="U391" s="16" t="str">
        <f aca="false">IF($D391="","",IF(ISNA(MATCH($B391,Cost!$H$5:$H$11,0)),"CHECK GAS TYPE",IF(OR($C391&lt;10,$C391&gt;150),"CHECK PRESSURE: outside 10-150 psi table",IF(OR($D391&lt;1,$D391&gt;120),"CHECK dB: outside 1-120 table",IF(ISNA(MATCH($C391,'Flow Curves'!$A$5:$A$11,0)),"INTERPOLATED between curves","Table curve")))))</f>
        <v/>
      </c>
      <c r="W391" s="2" t="str">
        <f aca="false">IF(OR($D391="",$C391=""),"",MATCH(MAX(10,MIN(150,$C391)),'Flow Curves'!$A$5:$A$11,1))</f>
        <v/>
      </c>
      <c r="X391" s="2" t="str">
        <f aca="false">IF($W391="","",MIN($W391+1,7))</f>
        <v/>
      </c>
      <c r="Y391" s="2" t="str">
        <f aca="false">IF($W391="","",INDEX('Flow Curves'!$B$5:$B$11,$W391)*POWER($D391,INDEX('Flow Curves'!$C$5:$C$11,$W391)))</f>
        <v/>
      </c>
      <c r="Z391" s="2" t="str">
        <f aca="false">IF($W391="","",INDEX('Flow Curves'!$B$5:$B$11,$X391)*POWER($D391,INDEX('Flow Curves'!$C$5:$C$11,$X391)))</f>
        <v/>
      </c>
    </row>
    <row r="392" customFormat="false" ht="15" hidden="false" customHeight="false" outlineLevel="0" collapsed="false">
      <c r="A392" s="16" t="n">
        <v>385</v>
      </c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8" t="n">
        <f aca="false">IF($O392=0,0,$O392*60*Cost!$D$16*Cost!$D$17*IFERROR(INDEX(Cost!$I$5:$I$11,MATCH($B392,Cost!$H$5:$H$11,0)),0)/Cost!$D$5)</f>
        <v>0</v>
      </c>
      <c r="O392" s="19" t="n">
        <f aca="false">IF($W392="",0,IF(INDEX('Flow Curves'!$A$5:$A$11,$X392)=INDEX('Flow Curves'!$A$5:$A$11,$W392),$Y392,$Y392+($Z392-$Y392)*(MAX(10,MIN(150,$C392))-INDEX('Flow Curves'!$A$5:$A$11,$W392))/(INDEX('Flow Curves'!$A$5:$A$11,$X392)-INDEX('Flow Curves'!$A$5:$A$11,$W392))))</f>
        <v>0</v>
      </c>
      <c r="P392" s="20" t="n">
        <f aca="false">IF(OR($B392="Air",$B392="Open Blow"),$O392*60*Cost!$D$16*Cost!$D$17/Cost!$D$5*Cost!$D$13,0)</f>
        <v>0</v>
      </c>
      <c r="Q392" s="17"/>
      <c r="U392" s="16" t="str">
        <f aca="false">IF($D392="","",IF(ISNA(MATCH($B392,Cost!$H$5:$H$11,0)),"CHECK GAS TYPE",IF(OR($C392&lt;10,$C392&gt;150),"CHECK PRESSURE: outside 10-150 psi table",IF(OR($D392&lt;1,$D392&gt;120),"CHECK dB: outside 1-120 table",IF(ISNA(MATCH($C392,'Flow Curves'!$A$5:$A$11,0)),"INTERPOLATED between curves","Table curve")))))</f>
        <v/>
      </c>
      <c r="W392" s="2" t="str">
        <f aca="false">IF(OR($D392="",$C392=""),"",MATCH(MAX(10,MIN(150,$C392)),'Flow Curves'!$A$5:$A$11,1))</f>
        <v/>
      </c>
      <c r="X392" s="2" t="str">
        <f aca="false">IF($W392="","",MIN($W392+1,7))</f>
        <v/>
      </c>
      <c r="Y392" s="2" t="str">
        <f aca="false">IF($W392="","",INDEX('Flow Curves'!$B$5:$B$11,$W392)*POWER($D392,INDEX('Flow Curves'!$C$5:$C$11,$W392)))</f>
        <v/>
      </c>
      <c r="Z392" s="2" t="str">
        <f aca="false">IF($W392="","",INDEX('Flow Curves'!$B$5:$B$11,$X392)*POWER($D392,INDEX('Flow Curves'!$C$5:$C$11,$X392)))</f>
        <v/>
      </c>
    </row>
    <row r="393" customFormat="false" ht="15" hidden="false" customHeight="false" outlineLevel="0" collapsed="false">
      <c r="A393" s="16" t="n">
        <v>386</v>
      </c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8" t="n">
        <f aca="false">IF($O393=0,0,$O393*60*Cost!$D$16*Cost!$D$17*IFERROR(INDEX(Cost!$I$5:$I$11,MATCH($B393,Cost!$H$5:$H$11,0)),0)/Cost!$D$5)</f>
        <v>0</v>
      </c>
      <c r="O393" s="19" t="n">
        <f aca="false">IF($W393="",0,IF(INDEX('Flow Curves'!$A$5:$A$11,$X393)=INDEX('Flow Curves'!$A$5:$A$11,$W393),$Y393,$Y393+($Z393-$Y393)*(MAX(10,MIN(150,$C393))-INDEX('Flow Curves'!$A$5:$A$11,$W393))/(INDEX('Flow Curves'!$A$5:$A$11,$X393)-INDEX('Flow Curves'!$A$5:$A$11,$W393))))</f>
        <v>0</v>
      </c>
      <c r="P393" s="20" t="n">
        <f aca="false">IF(OR($B393="Air",$B393="Open Blow"),$O393*60*Cost!$D$16*Cost!$D$17/Cost!$D$5*Cost!$D$13,0)</f>
        <v>0</v>
      </c>
      <c r="Q393" s="17"/>
      <c r="U393" s="16" t="str">
        <f aca="false">IF($D393="","",IF(ISNA(MATCH($B393,Cost!$H$5:$H$11,0)),"CHECK GAS TYPE",IF(OR($C393&lt;10,$C393&gt;150),"CHECK PRESSURE: outside 10-150 psi table",IF(OR($D393&lt;1,$D393&gt;120),"CHECK dB: outside 1-120 table",IF(ISNA(MATCH($C393,'Flow Curves'!$A$5:$A$11,0)),"INTERPOLATED between curves","Table curve")))))</f>
        <v/>
      </c>
      <c r="W393" s="2" t="str">
        <f aca="false">IF(OR($D393="",$C393=""),"",MATCH(MAX(10,MIN(150,$C393)),'Flow Curves'!$A$5:$A$11,1))</f>
        <v/>
      </c>
      <c r="X393" s="2" t="str">
        <f aca="false">IF($W393="","",MIN($W393+1,7))</f>
        <v/>
      </c>
      <c r="Y393" s="2" t="str">
        <f aca="false">IF($W393="","",INDEX('Flow Curves'!$B$5:$B$11,$W393)*POWER($D393,INDEX('Flow Curves'!$C$5:$C$11,$W393)))</f>
        <v/>
      </c>
      <c r="Z393" s="2" t="str">
        <f aca="false">IF($W393="","",INDEX('Flow Curves'!$B$5:$B$11,$X393)*POWER($D393,INDEX('Flow Curves'!$C$5:$C$11,$X393)))</f>
        <v/>
      </c>
    </row>
    <row r="394" customFormat="false" ht="15" hidden="false" customHeight="false" outlineLevel="0" collapsed="false">
      <c r="A394" s="16" t="n">
        <v>387</v>
      </c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8" t="n">
        <f aca="false">IF($O394=0,0,$O394*60*Cost!$D$16*Cost!$D$17*IFERROR(INDEX(Cost!$I$5:$I$11,MATCH($B394,Cost!$H$5:$H$11,0)),0)/Cost!$D$5)</f>
        <v>0</v>
      </c>
      <c r="O394" s="19" t="n">
        <f aca="false">IF($W394="",0,IF(INDEX('Flow Curves'!$A$5:$A$11,$X394)=INDEX('Flow Curves'!$A$5:$A$11,$W394),$Y394,$Y394+($Z394-$Y394)*(MAX(10,MIN(150,$C394))-INDEX('Flow Curves'!$A$5:$A$11,$W394))/(INDEX('Flow Curves'!$A$5:$A$11,$X394)-INDEX('Flow Curves'!$A$5:$A$11,$W394))))</f>
        <v>0</v>
      </c>
      <c r="P394" s="20" t="n">
        <f aca="false">IF(OR($B394="Air",$B394="Open Blow"),$O394*60*Cost!$D$16*Cost!$D$17/Cost!$D$5*Cost!$D$13,0)</f>
        <v>0</v>
      </c>
      <c r="Q394" s="17"/>
      <c r="U394" s="16" t="str">
        <f aca="false">IF($D394="","",IF(ISNA(MATCH($B394,Cost!$H$5:$H$11,0)),"CHECK GAS TYPE",IF(OR($C394&lt;10,$C394&gt;150),"CHECK PRESSURE: outside 10-150 psi table",IF(OR($D394&lt;1,$D394&gt;120),"CHECK dB: outside 1-120 table",IF(ISNA(MATCH($C394,'Flow Curves'!$A$5:$A$11,0)),"INTERPOLATED between curves","Table curve")))))</f>
        <v/>
      </c>
      <c r="W394" s="2" t="str">
        <f aca="false">IF(OR($D394="",$C394=""),"",MATCH(MAX(10,MIN(150,$C394)),'Flow Curves'!$A$5:$A$11,1))</f>
        <v/>
      </c>
      <c r="X394" s="2" t="str">
        <f aca="false">IF($W394="","",MIN($W394+1,7))</f>
        <v/>
      </c>
      <c r="Y394" s="2" t="str">
        <f aca="false">IF($W394="","",INDEX('Flow Curves'!$B$5:$B$11,$W394)*POWER($D394,INDEX('Flow Curves'!$C$5:$C$11,$W394)))</f>
        <v/>
      </c>
      <c r="Z394" s="2" t="str">
        <f aca="false">IF($W394="","",INDEX('Flow Curves'!$B$5:$B$11,$X394)*POWER($D394,INDEX('Flow Curves'!$C$5:$C$11,$X394)))</f>
        <v/>
      </c>
    </row>
    <row r="395" customFormat="false" ht="15" hidden="false" customHeight="false" outlineLevel="0" collapsed="false">
      <c r="A395" s="16" t="n">
        <v>388</v>
      </c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8" t="n">
        <f aca="false">IF($O395=0,0,$O395*60*Cost!$D$16*Cost!$D$17*IFERROR(INDEX(Cost!$I$5:$I$11,MATCH($B395,Cost!$H$5:$H$11,0)),0)/Cost!$D$5)</f>
        <v>0</v>
      </c>
      <c r="O395" s="19" t="n">
        <f aca="false">IF($W395="",0,IF(INDEX('Flow Curves'!$A$5:$A$11,$X395)=INDEX('Flow Curves'!$A$5:$A$11,$W395),$Y395,$Y395+($Z395-$Y395)*(MAX(10,MIN(150,$C395))-INDEX('Flow Curves'!$A$5:$A$11,$W395))/(INDEX('Flow Curves'!$A$5:$A$11,$X395)-INDEX('Flow Curves'!$A$5:$A$11,$W395))))</f>
        <v>0</v>
      </c>
      <c r="P395" s="20" t="n">
        <f aca="false">IF(OR($B395="Air",$B395="Open Blow"),$O395*60*Cost!$D$16*Cost!$D$17/Cost!$D$5*Cost!$D$13,0)</f>
        <v>0</v>
      </c>
      <c r="Q395" s="17"/>
      <c r="U395" s="16" t="str">
        <f aca="false">IF($D395="","",IF(ISNA(MATCH($B395,Cost!$H$5:$H$11,0)),"CHECK GAS TYPE",IF(OR($C395&lt;10,$C395&gt;150),"CHECK PRESSURE: outside 10-150 psi table",IF(OR($D395&lt;1,$D395&gt;120),"CHECK dB: outside 1-120 table",IF(ISNA(MATCH($C395,'Flow Curves'!$A$5:$A$11,0)),"INTERPOLATED between curves","Table curve")))))</f>
        <v/>
      </c>
      <c r="W395" s="2" t="str">
        <f aca="false">IF(OR($D395="",$C395=""),"",MATCH(MAX(10,MIN(150,$C395)),'Flow Curves'!$A$5:$A$11,1))</f>
        <v/>
      </c>
      <c r="X395" s="2" t="str">
        <f aca="false">IF($W395="","",MIN($W395+1,7))</f>
        <v/>
      </c>
      <c r="Y395" s="2" t="str">
        <f aca="false">IF($W395="","",INDEX('Flow Curves'!$B$5:$B$11,$W395)*POWER($D395,INDEX('Flow Curves'!$C$5:$C$11,$W395)))</f>
        <v/>
      </c>
      <c r="Z395" s="2" t="str">
        <f aca="false">IF($W395="","",INDEX('Flow Curves'!$B$5:$B$11,$X395)*POWER($D395,INDEX('Flow Curves'!$C$5:$C$11,$X395)))</f>
        <v/>
      </c>
    </row>
    <row r="396" customFormat="false" ht="15" hidden="false" customHeight="false" outlineLevel="0" collapsed="false">
      <c r="A396" s="16" t="n">
        <v>389</v>
      </c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8" t="n">
        <f aca="false">IF($O396=0,0,$O396*60*Cost!$D$16*Cost!$D$17*IFERROR(INDEX(Cost!$I$5:$I$11,MATCH($B396,Cost!$H$5:$H$11,0)),0)/Cost!$D$5)</f>
        <v>0</v>
      </c>
      <c r="O396" s="19" t="n">
        <f aca="false">IF($W396="",0,IF(INDEX('Flow Curves'!$A$5:$A$11,$X396)=INDEX('Flow Curves'!$A$5:$A$11,$W396),$Y396,$Y396+($Z396-$Y396)*(MAX(10,MIN(150,$C396))-INDEX('Flow Curves'!$A$5:$A$11,$W396))/(INDEX('Flow Curves'!$A$5:$A$11,$X396)-INDEX('Flow Curves'!$A$5:$A$11,$W396))))</f>
        <v>0</v>
      </c>
      <c r="P396" s="20" t="n">
        <f aca="false">IF(OR($B396="Air",$B396="Open Blow"),$O396*60*Cost!$D$16*Cost!$D$17/Cost!$D$5*Cost!$D$13,0)</f>
        <v>0</v>
      </c>
      <c r="Q396" s="17"/>
      <c r="U396" s="16" t="str">
        <f aca="false">IF($D396="","",IF(ISNA(MATCH($B396,Cost!$H$5:$H$11,0)),"CHECK GAS TYPE",IF(OR($C396&lt;10,$C396&gt;150),"CHECK PRESSURE: outside 10-150 psi table",IF(OR($D396&lt;1,$D396&gt;120),"CHECK dB: outside 1-120 table",IF(ISNA(MATCH($C396,'Flow Curves'!$A$5:$A$11,0)),"INTERPOLATED between curves","Table curve")))))</f>
        <v/>
      </c>
      <c r="W396" s="2" t="str">
        <f aca="false">IF(OR($D396="",$C396=""),"",MATCH(MAX(10,MIN(150,$C396)),'Flow Curves'!$A$5:$A$11,1))</f>
        <v/>
      </c>
      <c r="X396" s="2" t="str">
        <f aca="false">IF($W396="","",MIN($W396+1,7))</f>
        <v/>
      </c>
      <c r="Y396" s="2" t="str">
        <f aca="false">IF($W396="","",INDEX('Flow Curves'!$B$5:$B$11,$W396)*POWER($D396,INDEX('Flow Curves'!$C$5:$C$11,$W396)))</f>
        <v/>
      </c>
      <c r="Z396" s="2" t="str">
        <f aca="false">IF($W396="","",INDEX('Flow Curves'!$B$5:$B$11,$X396)*POWER($D396,INDEX('Flow Curves'!$C$5:$C$11,$X396)))</f>
        <v/>
      </c>
    </row>
    <row r="397" customFormat="false" ht="15" hidden="false" customHeight="false" outlineLevel="0" collapsed="false">
      <c r="A397" s="16" t="n">
        <v>390</v>
      </c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8" t="n">
        <f aca="false">IF($O397=0,0,$O397*60*Cost!$D$16*Cost!$D$17*IFERROR(INDEX(Cost!$I$5:$I$11,MATCH($B397,Cost!$H$5:$H$11,0)),0)/Cost!$D$5)</f>
        <v>0</v>
      </c>
      <c r="O397" s="19" t="n">
        <f aca="false">IF($W397="",0,IF(INDEX('Flow Curves'!$A$5:$A$11,$X397)=INDEX('Flow Curves'!$A$5:$A$11,$W397),$Y397,$Y397+($Z397-$Y397)*(MAX(10,MIN(150,$C397))-INDEX('Flow Curves'!$A$5:$A$11,$W397))/(INDEX('Flow Curves'!$A$5:$A$11,$X397)-INDEX('Flow Curves'!$A$5:$A$11,$W397))))</f>
        <v>0</v>
      </c>
      <c r="P397" s="20" t="n">
        <f aca="false">IF(OR($B397="Air",$B397="Open Blow"),$O397*60*Cost!$D$16*Cost!$D$17/Cost!$D$5*Cost!$D$13,0)</f>
        <v>0</v>
      </c>
      <c r="Q397" s="17"/>
      <c r="U397" s="16" t="str">
        <f aca="false">IF($D397="","",IF(ISNA(MATCH($B397,Cost!$H$5:$H$11,0)),"CHECK GAS TYPE",IF(OR($C397&lt;10,$C397&gt;150),"CHECK PRESSURE: outside 10-150 psi table",IF(OR($D397&lt;1,$D397&gt;120),"CHECK dB: outside 1-120 table",IF(ISNA(MATCH($C397,'Flow Curves'!$A$5:$A$11,0)),"INTERPOLATED between curves","Table curve")))))</f>
        <v/>
      </c>
      <c r="W397" s="2" t="str">
        <f aca="false">IF(OR($D397="",$C397=""),"",MATCH(MAX(10,MIN(150,$C397)),'Flow Curves'!$A$5:$A$11,1))</f>
        <v/>
      </c>
      <c r="X397" s="2" t="str">
        <f aca="false">IF($W397="","",MIN($W397+1,7))</f>
        <v/>
      </c>
      <c r="Y397" s="2" t="str">
        <f aca="false">IF($W397="","",INDEX('Flow Curves'!$B$5:$B$11,$W397)*POWER($D397,INDEX('Flow Curves'!$C$5:$C$11,$W397)))</f>
        <v/>
      </c>
      <c r="Z397" s="2" t="str">
        <f aca="false">IF($W397="","",INDEX('Flow Curves'!$B$5:$B$11,$X397)*POWER($D397,INDEX('Flow Curves'!$C$5:$C$11,$X397)))</f>
        <v/>
      </c>
    </row>
    <row r="398" customFormat="false" ht="15" hidden="false" customHeight="false" outlineLevel="0" collapsed="false">
      <c r="A398" s="16" t="n">
        <v>391</v>
      </c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8" t="n">
        <f aca="false">IF($O398=0,0,$O398*60*Cost!$D$16*Cost!$D$17*IFERROR(INDEX(Cost!$I$5:$I$11,MATCH($B398,Cost!$H$5:$H$11,0)),0)/Cost!$D$5)</f>
        <v>0</v>
      </c>
      <c r="O398" s="19" t="n">
        <f aca="false">IF($W398="",0,IF(INDEX('Flow Curves'!$A$5:$A$11,$X398)=INDEX('Flow Curves'!$A$5:$A$11,$W398),$Y398,$Y398+($Z398-$Y398)*(MAX(10,MIN(150,$C398))-INDEX('Flow Curves'!$A$5:$A$11,$W398))/(INDEX('Flow Curves'!$A$5:$A$11,$X398)-INDEX('Flow Curves'!$A$5:$A$11,$W398))))</f>
        <v>0</v>
      </c>
      <c r="P398" s="20" t="n">
        <f aca="false">IF(OR($B398="Air",$B398="Open Blow"),$O398*60*Cost!$D$16*Cost!$D$17/Cost!$D$5*Cost!$D$13,0)</f>
        <v>0</v>
      </c>
      <c r="Q398" s="17"/>
      <c r="U398" s="16" t="str">
        <f aca="false">IF($D398="","",IF(ISNA(MATCH($B398,Cost!$H$5:$H$11,0)),"CHECK GAS TYPE",IF(OR($C398&lt;10,$C398&gt;150),"CHECK PRESSURE: outside 10-150 psi table",IF(OR($D398&lt;1,$D398&gt;120),"CHECK dB: outside 1-120 table",IF(ISNA(MATCH($C398,'Flow Curves'!$A$5:$A$11,0)),"INTERPOLATED between curves","Table curve")))))</f>
        <v/>
      </c>
      <c r="W398" s="2" t="str">
        <f aca="false">IF(OR($D398="",$C398=""),"",MATCH(MAX(10,MIN(150,$C398)),'Flow Curves'!$A$5:$A$11,1))</f>
        <v/>
      </c>
      <c r="X398" s="2" t="str">
        <f aca="false">IF($W398="","",MIN($W398+1,7))</f>
        <v/>
      </c>
      <c r="Y398" s="2" t="str">
        <f aca="false">IF($W398="","",INDEX('Flow Curves'!$B$5:$B$11,$W398)*POWER($D398,INDEX('Flow Curves'!$C$5:$C$11,$W398)))</f>
        <v/>
      </c>
      <c r="Z398" s="2" t="str">
        <f aca="false">IF($W398="","",INDEX('Flow Curves'!$B$5:$B$11,$X398)*POWER($D398,INDEX('Flow Curves'!$C$5:$C$11,$X398)))</f>
        <v/>
      </c>
    </row>
    <row r="399" customFormat="false" ht="15" hidden="false" customHeight="false" outlineLevel="0" collapsed="false">
      <c r="A399" s="16" t="n">
        <v>392</v>
      </c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8" t="n">
        <f aca="false">IF($O399=0,0,$O399*60*Cost!$D$16*Cost!$D$17*IFERROR(INDEX(Cost!$I$5:$I$11,MATCH($B399,Cost!$H$5:$H$11,0)),0)/Cost!$D$5)</f>
        <v>0</v>
      </c>
      <c r="O399" s="19" t="n">
        <f aca="false">IF($W399="",0,IF(INDEX('Flow Curves'!$A$5:$A$11,$X399)=INDEX('Flow Curves'!$A$5:$A$11,$W399),$Y399,$Y399+($Z399-$Y399)*(MAX(10,MIN(150,$C399))-INDEX('Flow Curves'!$A$5:$A$11,$W399))/(INDEX('Flow Curves'!$A$5:$A$11,$X399)-INDEX('Flow Curves'!$A$5:$A$11,$W399))))</f>
        <v>0</v>
      </c>
      <c r="P399" s="20" t="n">
        <f aca="false">IF(OR($B399="Air",$B399="Open Blow"),$O399*60*Cost!$D$16*Cost!$D$17/Cost!$D$5*Cost!$D$13,0)</f>
        <v>0</v>
      </c>
      <c r="Q399" s="17"/>
      <c r="U399" s="16" t="str">
        <f aca="false">IF($D399="","",IF(ISNA(MATCH($B399,Cost!$H$5:$H$11,0)),"CHECK GAS TYPE",IF(OR($C399&lt;10,$C399&gt;150),"CHECK PRESSURE: outside 10-150 psi table",IF(OR($D399&lt;1,$D399&gt;120),"CHECK dB: outside 1-120 table",IF(ISNA(MATCH($C399,'Flow Curves'!$A$5:$A$11,0)),"INTERPOLATED between curves","Table curve")))))</f>
        <v/>
      </c>
      <c r="W399" s="2" t="str">
        <f aca="false">IF(OR($D399="",$C399=""),"",MATCH(MAX(10,MIN(150,$C399)),'Flow Curves'!$A$5:$A$11,1))</f>
        <v/>
      </c>
      <c r="X399" s="2" t="str">
        <f aca="false">IF($W399="","",MIN($W399+1,7))</f>
        <v/>
      </c>
      <c r="Y399" s="2" t="str">
        <f aca="false">IF($W399="","",INDEX('Flow Curves'!$B$5:$B$11,$W399)*POWER($D399,INDEX('Flow Curves'!$C$5:$C$11,$W399)))</f>
        <v/>
      </c>
      <c r="Z399" s="2" t="str">
        <f aca="false">IF($W399="","",INDEX('Flow Curves'!$B$5:$B$11,$X399)*POWER($D399,INDEX('Flow Curves'!$C$5:$C$11,$X399)))</f>
        <v/>
      </c>
    </row>
    <row r="400" customFormat="false" ht="15" hidden="false" customHeight="false" outlineLevel="0" collapsed="false">
      <c r="A400" s="16" t="n">
        <v>393</v>
      </c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8" t="n">
        <f aca="false">IF($O400=0,0,$O400*60*Cost!$D$16*Cost!$D$17*IFERROR(INDEX(Cost!$I$5:$I$11,MATCH($B400,Cost!$H$5:$H$11,0)),0)/Cost!$D$5)</f>
        <v>0</v>
      </c>
      <c r="O400" s="19" t="n">
        <f aca="false">IF($W400="",0,IF(INDEX('Flow Curves'!$A$5:$A$11,$X400)=INDEX('Flow Curves'!$A$5:$A$11,$W400),$Y400,$Y400+($Z400-$Y400)*(MAX(10,MIN(150,$C400))-INDEX('Flow Curves'!$A$5:$A$11,$W400))/(INDEX('Flow Curves'!$A$5:$A$11,$X400)-INDEX('Flow Curves'!$A$5:$A$11,$W400))))</f>
        <v>0</v>
      </c>
      <c r="P400" s="20" t="n">
        <f aca="false">IF(OR($B400="Air",$B400="Open Blow"),$O400*60*Cost!$D$16*Cost!$D$17/Cost!$D$5*Cost!$D$13,0)</f>
        <v>0</v>
      </c>
      <c r="Q400" s="17"/>
      <c r="U400" s="16" t="str">
        <f aca="false">IF($D400="","",IF(ISNA(MATCH($B400,Cost!$H$5:$H$11,0)),"CHECK GAS TYPE",IF(OR($C400&lt;10,$C400&gt;150),"CHECK PRESSURE: outside 10-150 psi table",IF(OR($D400&lt;1,$D400&gt;120),"CHECK dB: outside 1-120 table",IF(ISNA(MATCH($C400,'Flow Curves'!$A$5:$A$11,0)),"INTERPOLATED between curves","Table curve")))))</f>
        <v/>
      </c>
      <c r="W400" s="2" t="str">
        <f aca="false">IF(OR($D400="",$C400=""),"",MATCH(MAX(10,MIN(150,$C400)),'Flow Curves'!$A$5:$A$11,1))</f>
        <v/>
      </c>
      <c r="X400" s="2" t="str">
        <f aca="false">IF($W400="","",MIN($W400+1,7))</f>
        <v/>
      </c>
      <c r="Y400" s="2" t="str">
        <f aca="false">IF($W400="","",INDEX('Flow Curves'!$B$5:$B$11,$W400)*POWER($D400,INDEX('Flow Curves'!$C$5:$C$11,$W400)))</f>
        <v/>
      </c>
      <c r="Z400" s="2" t="str">
        <f aca="false">IF($W400="","",INDEX('Flow Curves'!$B$5:$B$11,$X400)*POWER($D400,INDEX('Flow Curves'!$C$5:$C$11,$X400)))</f>
        <v/>
      </c>
    </row>
    <row r="401" customFormat="false" ht="15" hidden="false" customHeight="false" outlineLevel="0" collapsed="false">
      <c r="A401" s="16" t="n">
        <v>394</v>
      </c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8" t="n">
        <f aca="false">IF($O401=0,0,$O401*60*Cost!$D$16*Cost!$D$17*IFERROR(INDEX(Cost!$I$5:$I$11,MATCH($B401,Cost!$H$5:$H$11,0)),0)/Cost!$D$5)</f>
        <v>0</v>
      </c>
      <c r="O401" s="19" t="n">
        <f aca="false">IF($W401="",0,IF(INDEX('Flow Curves'!$A$5:$A$11,$X401)=INDEX('Flow Curves'!$A$5:$A$11,$W401),$Y401,$Y401+($Z401-$Y401)*(MAX(10,MIN(150,$C401))-INDEX('Flow Curves'!$A$5:$A$11,$W401))/(INDEX('Flow Curves'!$A$5:$A$11,$X401)-INDEX('Flow Curves'!$A$5:$A$11,$W401))))</f>
        <v>0</v>
      </c>
      <c r="P401" s="20" t="n">
        <f aca="false">IF(OR($B401="Air",$B401="Open Blow"),$O401*60*Cost!$D$16*Cost!$D$17/Cost!$D$5*Cost!$D$13,0)</f>
        <v>0</v>
      </c>
      <c r="Q401" s="17"/>
      <c r="U401" s="16" t="str">
        <f aca="false">IF($D401="","",IF(ISNA(MATCH($B401,Cost!$H$5:$H$11,0)),"CHECK GAS TYPE",IF(OR($C401&lt;10,$C401&gt;150),"CHECK PRESSURE: outside 10-150 psi table",IF(OR($D401&lt;1,$D401&gt;120),"CHECK dB: outside 1-120 table",IF(ISNA(MATCH($C401,'Flow Curves'!$A$5:$A$11,0)),"INTERPOLATED between curves","Table curve")))))</f>
        <v/>
      </c>
      <c r="W401" s="2" t="str">
        <f aca="false">IF(OR($D401="",$C401=""),"",MATCH(MAX(10,MIN(150,$C401)),'Flow Curves'!$A$5:$A$11,1))</f>
        <v/>
      </c>
      <c r="X401" s="2" t="str">
        <f aca="false">IF($W401="","",MIN($W401+1,7))</f>
        <v/>
      </c>
      <c r="Y401" s="2" t="str">
        <f aca="false">IF($W401="","",INDEX('Flow Curves'!$B$5:$B$11,$W401)*POWER($D401,INDEX('Flow Curves'!$C$5:$C$11,$W401)))</f>
        <v/>
      </c>
      <c r="Z401" s="2" t="str">
        <f aca="false">IF($W401="","",INDEX('Flow Curves'!$B$5:$B$11,$X401)*POWER($D401,INDEX('Flow Curves'!$C$5:$C$11,$X401)))</f>
        <v/>
      </c>
    </row>
    <row r="402" customFormat="false" ht="15" hidden="false" customHeight="false" outlineLevel="0" collapsed="false">
      <c r="A402" s="16" t="n">
        <v>395</v>
      </c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8" t="n">
        <f aca="false">IF($O402=0,0,$O402*60*Cost!$D$16*Cost!$D$17*IFERROR(INDEX(Cost!$I$5:$I$11,MATCH($B402,Cost!$H$5:$H$11,0)),0)/Cost!$D$5)</f>
        <v>0</v>
      </c>
      <c r="O402" s="19" t="n">
        <f aca="false">IF($W402="",0,IF(INDEX('Flow Curves'!$A$5:$A$11,$X402)=INDEX('Flow Curves'!$A$5:$A$11,$W402),$Y402,$Y402+($Z402-$Y402)*(MAX(10,MIN(150,$C402))-INDEX('Flow Curves'!$A$5:$A$11,$W402))/(INDEX('Flow Curves'!$A$5:$A$11,$X402)-INDEX('Flow Curves'!$A$5:$A$11,$W402))))</f>
        <v>0</v>
      </c>
      <c r="P402" s="20" t="n">
        <f aca="false">IF(OR($B402="Air",$B402="Open Blow"),$O402*60*Cost!$D$16*Cost!$D$17/Cost!$D$5*Cost!$D$13,0)</f>
        <v>0</v>
      </c>
      <c r="Q402" s="17"/>
      <c r="U402" s="16" t="str">
        <f aca="false">IF($D402="","",IF(ISNA(MATCH($B402,Cost!$H$5:$H$11,0)),"CHECK GAS TYPE",IF(OR($C402&lt;10,$C402&gt;150),"CHECK PRESSURE: outside 10-150 psi table",IF(OR($D402&lt;1,$D402&gt;120),"CHECK dB: outside 1-120 table",IF(ISNA(MATCH($C402,'Flow Curves'!$A$5:$A$11,0)),"INTERPOLATED between curves","Table curve")))))</f>
        <v/>
      </c>
      <c r="W402" s="2" t="str">
        <f aca="false">IF(OR($D402="",$C402=""),"",MATCH(MAX(10,MIN(150,$C402)),'Flow Curves'!$A$5:$A$11,1))</f>
        <v/>
      </c>
      <c r="X402" s="2" t="str">
        <f aca="false">IF($W402="","",MIN($W402+1,7))</f>
        <v/>
      </c>
      <c r="Y402" s="2" t="str">
        <f aca="false">IF($W402="","",INDEX('Flow Curves'!$B$5:$B$11,$W402)*POWER($D402,INDEX('Flow Curves'!$C$5:$C$11,$W402)))</f>
        <v/>
      </c>
      <c r="Z402" s="2" t="str">
        <f aca="false">IF($W402="","",INDEX('Flow Curves'!$B$5:$B$11,$X402)*POWER($D402,INDEX('Flow Curves'!$C$5:$C$11,$X402)))</f>
        <v/>
      </c>
    </row>
    <row r="403" customFormat="false" ht="15" hidden="false" customHeight="false" outlineLevel="0" collapsed="false">
      <c r="A403" s="16" t="n">
        <v>396</v>
      </c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8" t="n">
        <f aca="false">IF($O403=0,0,$O403*60*Cost!$D$16*Cost!$D$17*IFERROR(INDEX(Cost!$I$5:$I$11,MATCH($B403,Cost!$H$5:$H$11,0)),0)/Cost!$D$5)</f>
        <v>0</v>
      </c>
      <c r="O403" s="19" t="n">
        <f aca="false">IF($W403="",0,IF(INDEX('Flow Curves'!$A$5:$A$11,$X403)=INDEX('Flow Curves'!$A$5:$A$11,$W403),$Y403,$Y403+($Z403-$Y403)*(MAX(10,MIN(150,$C403))-INDEX('Flow Curves'!$A$5:$A$11,$W403))/(INDEX('Flow Curves'!$A$5:$A$11,$X403)-INDEX('Flow Curves'!$A$5:$A$11,$W403))))</f>
        <v>0</v>
      </c>
      <c r="P403" s="20" t="n">
        <f aca="false">IF(OR($B403="Air",$B403="Open Blow"),$O403*60*Cost!$D$16*Cost!$D$17/Cost!$D$5*Cost!$D$13,0)</f>
        <v>0</v>
      </c>
      <c r="Q403" s="17"/>
      <c r="U403" s="16" t="str">
        <f aca="false">IF($D403="","",IF(ISNA(MATCH($B403,Cost!$H$5:$H$11,0)),"CHECK GAS TYPE",IF(OR($C403&lt;10,$C403&gt;150),"CHECK PRESSURE: outside 10-150 psi table",IF(OR($D403&lt;1,$D403&gt;120),"CHECK dB: outside 1-120 table",IF(ISNA(MATCH($C403,'Flow Curves'!$A$5:$A$11,0)),"INTERPOLATED between curves","Table curve")))))</f>
        <v/>
      </c>
      <c r="W403" s="2" t="str">
        <f aca="false">IF(OR($D403="",$C403=""),"",MATCH(MAX(10,MIN(150,$C403)),'Flow Curves'!$A$5:$A$11,1))</f>
        <v/>
      </c>
      <c r="X403" s="2" t="str">
        <f aca="false">IF($W403="","",MIN($W403+1,7))</f>
        <v/>
      </c>
      <c r="Y403" s="2" t="str">
        <f aca="false">IF($W403="","",INDEX('Flow Curves'!$B$5:$B$11,$W403)*POWER($D403,INDEX('Flow Curves'!$C$5:$C$11,$W403)))</f>
        <v/>
      </c>
      <c r="Z403" s="2" t="str">
        <f aca="false">IF($W403="","",INDEX('Flow Curves'!$B$5:$B$11,$X403)*POWER($D403,INDEX('Flow Curves'!$C$5:$C$11,$X403)))</f>
        <v/>
      </c>
    </row>
    <row r="404" customFormat="false" ht="15" hidden="false" customHeight="false" outlineLevel="0" collapsed="false">
      <c r="A404" s="16" t="n">
        <v>397</v>
      </c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8" t="n">
        <f aca="false">IF($O404=0,0,$O404*60*Cost!$D$16*Cost!$D$17*IFERROR(INDEX(Cost!$I$5:$I$11,MATCH($B404,Cost!$H$5:$H$11,0)),0)/Cost!$D$5)</f>
        <v>0</v>
      </c>
      <c r="O404" s="19" t="n">
        <f aca="false">IF($W404="",0,IF(INDEX('Flow Curves'!$A$5:$A$11,$X404)=INDEX('Flow Curves'!$A$5:$A$11,$W404),$Y404,$Y404+($Z404-$Y404)*(MAX(10,MIN(150,$C404))-INDEX('Flow Curves'!$A$5:$A$11,$W404))/(INDEX('Flow Curves'!$A$5:$A$11,$X404)-INDEX('Flow Curves'!$A$5:$A$11,$W404))))</f>
        <v>0</v>
      </c>
      <c r="P404" s="20" t="n">
        <f aca="false">IF(OR($B404="Air",$B404="Open Blow"),$O404*60*Cost!$D$16*Cost!$D$17/Cost!$D$5*Cost!$D$13,0)</f>
        <v>0</v>
      </c>
      <c r="Q404" s="17"/>
      <c r="U404" s="16" t="str">
        <f aca="false">IF($D404="","",IF(ISNA(MATCH($B404,Cost!$H$5:$H$11,0)),"CHECK GAS TYPE",IF(OR($C404&lt;10,$C404&gt;150),"CHECK PRESSURE: outside 10-150 psi table",IF(OR($D404&lt;1,$D404&gt;120),"CHECK dB: outside 1-120 table",IF(ISNA(MATCH($C404,'Flow Curves'!$A$5:$A$11,0)),"INTERPOLATED between curves","Table curve")))))</f>
        <v/>
      </c>
      <c r="W404" s="2" t="str">
        <f aca="false">IF(OR($D404="",$C404=""),"",MATCH(MAX(10,MIN(150,$C404)),'Flow Curves'!$A$5:$A$11,1))</f>
        <v/>
      </c>
      <c r="X404" s="2" t="str">
        <f aca="false">IF($W404="","",MIN($W404+1,7))</f>
        <v/>
      </c>
      <c r="Y404" s="2" t="str">
        <f aca="false">IF($W404="","",INDEX('Flow Curves'!$B$5:$B$11,$W404)*POWER($D404,INDEX('Flow Curves'!$C$5:$C$11,$W404)))</f>
        <v/>
      </c>
      <c r="Z404" s="2" t="str">
        <f aca="false">IF($W404="","",INDEX('Flow Curves'!$B$5:$B$11,$X404)*POWER($D404,INDEX('Flow Curves'!$C$5:$C$11,$X404)))</f>
        <v/>
      </c>
    </row>
    <row r="405" customFormat="false" ht="15" hidden="false" customHeight="false" outlineLevel="0" collapsed="false">
      <c r="A405" s="16" t="n">
        <v>398</v>
      </c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8" t="n">
        <f aca="false">IF($O405=0,0,$O405*60*Cost!$D$16*Cost!$D$17*IFERROR(INDEX(Cost!$I$5:$I$11,MATCH($B405,Cost!$H$5:$H$11,0)),0)/Cost!$D$5)</f>
        <v>0</v>
      </c>
      <c r="O405" s="19" t="n">
        <f aca="false">IF($W405="",0,IF(INDEX('Flow Curves'!$A$5:$A$11,$X405)=INDEX('Flow Curves'!$A$5:$A$11,$W405),$Y405,$Y405+($Z405-$Y405)*(MAX(10,MIN(150,$C405))-INDEX('Flow Curves'!$A$5:$A$11,$W405))/(INDEX('Flow Curves'!$A$5:$A$11,$X405)-INDEX('Flow Curves'!$A$5:$A$11,$W405))))</f>
        <v>0</v>
      </c>
      <c r="P405" s="20" t="n">
        <f aca="false">IF(OR($B405="Air",$B405="Open Blow"),$O405*60*Cost!$D$16*Cost!$D$17/Cost!$D$5*Cost!$D$13,0)</f>
        <v>0</v>
      </c>
      <c r="Q405" s="17"/>
      <c r="U405" s="16" t="str">
        <f aca="false">IF($D405="","",IF(ISNA(MATCH($B405,Cost!$H$5:$H$11,0)),"CHECK GAS TYPE",IF(OR($C405&lt;10,$C405&gt;150),"CHECK PRESSURE: outside 10-150 psi table",IF(OR($D405&lt;1,$D405&gt;120),"CHECK dB: outside 1-120 table",IF(ISNA(MATCH($C405,'Flow Curves'!$A$5:$A$11,0)),"INTERPOLATED between curves","Table curve")))))</f>
        <v/>
      </c>
      <c r="W405" s="2" t="str">
        <f aca="false">IF(OR($D405="",$C405=""),"",MATCH(MAX(10,MIN(150,$C405)),'Flow Curves'!$A$5:$A$11,1))</f>
        <v/>
      </c>
      <c r="X405" s="2" t="str">
        <f aca="false">IF($W405="","",MIN($W405+1,7))</f>
        <v/>
      </c>
      <c r="Y405" s="2" t="str">
        <f aca="false">IF($W405="","",INDEX('Flow Curves'!$B$5:$B$11,$W405)*POWER($D405,INDEX('Flow Curves'!$C$5:$C$11,$W405)))</f>
        <v/>
      </c>
      <c r="Z405" s="2" t="str">
        <f aca="false">IF($W405="","",INDEX('Flow Curves'!$B$5:$B$11,$X405)*POWER($D405,INDEX('Flow Curves'!$C$5:$C$11,$X405)))</f>
        <v/>
      </c>
    </row>
    <row r="406" customFormat="false" ht="15" hidden="false" customHeight="false" outlineLevel="0" collapsed="false">
      <c r="A406" s="16" t="n">
        <v>399</v>
      </c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8" t="n">
        <f aca="false">IF($O406=0,0,$O406*60*Cost!$D$16*Cost!$D$17*IFERROR(INDEX(Cost!$I$5:$I$11,MATCH($B406,Cost!$H$5:$H$11,0)),0)/Cost!$D$5)</f>
        <v>0</v>
      </c>
      <c r="O406" s="19" t="n">
        <f aca="false">IF($W406="",0,IF(INDEX('Flow Curves'!$A$5:$A$11,$X406)=INDEX('Flow Curves'!$A$5:$A$11,$W406),$Y406,$Y406+($Z406-$Y406)*(MAX(10,MIN(150,$C406))-INDEX('Flow Curves'!$A$5:$A$11,$W406))/(INDEX('Flow Curves'!$A$5:$A$11,$X406)-INDEX('Flow Curves'!$A$5:$A$11,$W406))))</f>
        <v>0</v>
      </c>
      <c r="P406" s="20" t="n">
        <f aca="false">IF(OR($B406="Air",$B406="Open Blow"),$O406*60*Cost!$D$16*Cost!$D$17/Cost!$D$5*Cost!$D$13,0)</f>
        <v>0</v>
      </c>
      <c r="Q406" s="17"/>
      <c r="U406" s="16" t="str">
        <f aca="false">IF($D406="","",IF(ISNA(MATCH($B406,Cost!$H$5:$H$11,0)),"CHECK GAS TYPE",IF(OR($C406&lt;10,$C406&gt;150),"CHECK PRESSURE: outside 10-150 psi table",IF(OR($D406&lt;1,$D406&gt;120),"CHECK dB: outside 1-120 table",IF(ISNA(MATCH($C406,'Flow Curves'!$A$5:$A$11,0)),"INTERPOLATED between curves","Table curve")))))</f>
        <v/>
      </c>
      <c r="W406" s="2" t="str">
        <f aca="false">IF(OR($D406="",$C406=""),"",MATCH(MAX(10,MIN(150,$C406)),'Flow Curves'!$A$5:$A$11,1))</f>
        <v/>
      </c>
      <c r="X406" s="2" t="str">
        <f aca="false">IF($W406="","",MIN($W406+1,7))</f>
        <v/>
      </c>
      <c r="Y406" s="2" t="str">
        <f aca="false">IF($W406="","",INDEX('Flow Curves'!$B$5:$B$11,$W406)*POWER($D406,INDEX('Flow Curves'!$C$5:$C$11,$W406)))</f>
        <v/>
      </c>
      <c r="Z406" s="2" t="str">
        <f aca="false">IF($W406="","",INDEX('Flow Curves'!$B$5:$B$11,$X406)*POWER($D406,INDEX('Flow Curves'!$C$5:$C$11,$X406)))</f>
        <v/>
      </c>
    </row>
    <row r="407" customFormat="false" ht="15" hidden="false" customHeight="false" outlineLevel="0" collapsed="false">
      <c r="A407" s="16" t="n">
        <v>400</v>
      </c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8" t="n">
        <f aca="false">IF($O407=0,0,$O407*60*Cost!$D$16*Cost!$D$17*IFERROR(INDEX(Cost!$I$5:$I$11,MATCH($B407,Cost!$H$5:$H$11,0)),0)/Cost!$D$5)</f>
        <v>0</v>
      </c>
      <c r="O407" s="19" t="n">
        <f aca="false">IF($W407="",0,IF(INDEX('Flow Curves'!$A$5:$A$11,$X407)=INDEX('Flow Curves'!$A$5:$A$11,$W407),$Y407,$Y407+($Z407-$Y407)*(MAX(10,MIN(150,$C407))-INDEX('Flow Curves'!$A$5:$A$11,$W407))/(INDEX('Flow Curves'!$A$5:$A$11,$X407)-INDEX('Flow Curves'!$A$5:$A$11,$W407))))</f>
        <v>0</v>
      </c>
      <c r="P407" s="20" t="n">
        <f aca="false">IF(OR($B407="Air",$B407="Open Blow"),$O407*60*Cost!$D$16*Cost!$D$17/Cost!$D$5*Cost!$D$13,0)</f>
        <v>0</v>
      </c>
      <c r="Q407" s="17"/>
      <c r="U407" s="16" t="str">
        <f aca="false">IF($D407="","",IF(ISNA(MATCH($B407,Cost!$H$5:$H$11,0)),"CHECK GAS TYPE",IF(OR($C407&lt;10,$C407&gt;150),"CHECK PRESSURE: outside 10-150 psi table",IF(OR($D407&lt;1,$D407&gt;120),"CHECK dB: outside 1-120 table",IF(ISNA(MATCH($C407,'Flow Curves'!$A$5:$A$11,0)),"INTERPOLATED between curves","Table curve")))))</f>
        <v/>
      </c>
      <c r="W407" s="2" t="str">
        <f aca="false">IF(OR($D407="",$C407=""),"",MATCH(MAX(10,MIN(150,$C407)),'Flow Curves'!$A$5:$A$11,1))</f>
        <v/>
      </c>
      <c r="X407" s="2" t="str">
        <f aca="false">IF($W407="","",MIN($W407+1,7))</f>
        <v/>
      </c>
      <c r="Y407" s="2" t="str">
        <f aca="false">IF($W407="","",INDEX('Flow Curves'!$B$5:$B$11,$W407)*POWER($D407,INDEX('Flow Curves'!$C$5:$C$11,$W407)))</f>
        <v/>
      </c>
      <c r="Z407" s="2" t="str">
        <f aca="false">IF($W407="","",INDEX('Flow Curves'!$B$5:$B$11,$X407)*POWER($D407,INDEX('Flow Curves'!$C$5:$C$11,$X407)))</f>
        <v/>
      </c>
    </row>
    <row r="408" customFormat="false" ht="15" hidden="false" customHeight="false" outlineLevel="0" collapsed="false">
      <c r="A408" s="16" t="n">
        <v>401</v>
      </c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8" t="n">
        <f aca="false">IF($O408=0,0,$O408*60*Cost!$D$16*Cost!$D$17*IFERROR(INDEX(Cost!$I$5:$I$11,MATCH($B408,Cost!$H$5:$H$11,0)),0)/Cost!$D$5)</f>
        <v>0</v>
      </c>
      <c r="O408" s="19" t="n">
        <f aca="false">IF($W408="",0,IF(INDEX('Flow Curves'!$A$5:$A$11,$X408)=INDEX('Flow Curves'!$A$5:$A$11,$W408),$Y408,$Y408+($Z408-$Y408)*(MAX(10,MIN(150,$C408))-INDEX('Flow Curves'!$A$5:$A$11,$W408))/(INDEX('Flow Curves'!$A$5:$A$11,$X408)-INDEX('Flow Curves'!$A$5:$A$11,$W408))))</f>
        <v>0</v>
      </c>
      <c r="P408" s="20" t="n">
        <f aca="false">IF(OR($B408="Air",$B408="Open Blow"),$O408*60*Cost!$D$16*Cost!$D$17/Cost!$D$5*Cost!$D$13,0)</f>
        <v>0</v>
      </c>
      <c r="Q408" s="17"/>
      <c r="U408" s="16" t="str">
        <f aca="false">IF($D408="","",IF(ISNA(MATCH($B408,Cost!$H$5:$H$11,0)),"CHECK GAS TYPE",IF(OR($C408&lt;10,$C408&gt;150),"CHECK PRESSURE: outside 10-150 psi table",IF(OR($D408&lt;1,$D408&gt;120),"CHECK dB: outside 1-120 table",IF(ISNA(MATCH($C408,'Flow Curves'!$A$5:$A$11,0)),"INTERPOLATED between curves","Table curve")))))</f>
        <v/>
      </c>
      <c r="W408" s="2" t="str">
        <f aca="false">IF(OR($D408="",$C408=""),"",MATCH(MAX(10,MIN(150,$C408)),'Flow Curves'!$A$5:$A$11,1))</f>
        <v/>
      </c>
      <c r="X408" s="2" t="str">
        <f aca="false">IF($W408="","",MIN($W408+1,7))</f>
        <v/>
      </c>
      <c r="Y408" s="2" t="str">
        <f aca="false">IF($W408="","",INDEX('Flow Curves'!$B$5:$B$11,$W408)*POWER($D408,INDEX('Flow Curves'!$C$5:$C$11,$W408)))</f>
        <v/>
      </c>
      <c r="Z408" s="2" t="str">
        <f aca="false">IF($W408="","",INDEX('Flow Curves'!$B$5:$B$11,$X408)*POWER($D408,INDEX('Flow Curves'!$C$5:$C$11,$X408)))</f>
        <v/>
      </c>
    </row>
    <row r="409" customFormat="false" ht="15" hidden="false" customHeight="false" outlineLevel="0" collapsed="false">
      <c r="A409" s="16" t="n">
        <v>402</v>
      </c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8" t="n">
        <f aca="false">IF($O409=0,0,$O409*60*Cost!$D$16*Cost!$D$17*IFERROR(INDEX(Cost!$I$5:$I$11,MATCH($B409,Cost!$H$5:$H$11,0)),0)/Cost!$D$5)</f>
        <v>0</v>
      </c>
      <c r="O409" s="19" t="n">
        <f aca="false">IF($W409="",0,IF(INDEX('Flow Curves'!$A$5:$A$11,$X409)=INDEX('Flow Curves'!$A$5:$A$11,$W409),$Y409,$Y409+($Z409-$Y409)*(MAX(10,MIN(150,$C409))-INDEX('Flow Curves'!$A$5:$A$11,$W409))/(INDEX('Flow Curves'!$A$5:$A$11,$X409)-INDEX('Flow Curves'!$A$5:$A$11,$W409))))</f>
        <v>0</v>
      </c>
      <c r="P409" s="20" t="n">
        <f aca="false">IF(OR($B409="Air",$B409="Open Blow"),$O409*60*Cost!$D$16*Cost!$D$17/Cost!$D$5*Cost!$D$13,0)</f>
        <v>0</v>
      </c>
      <c r="Q409" s="17"/>
      <c r="U409" s="16" t="str">
        <f aca="false">IF($D409="","",IF(ISNA(MATCH($B409,Cost!$H$5:$H$11,0)),"CHECK GAS TYPE",IF(OR($C409&lt;10,$C409&gt;150),"CHECK PRESSURE: outside 10-150 psi table",IF(OR($D409&lt;1,$D409&gt;120),"CHECK dB: outside 1-120 table",IF(ISNA(MATCH($C409,'Flow Curves'!$A$5:$A$11,0)),"INTERPOLATED between curves","Table curve")))))</f>
        <v/>
      </c>
      <c r="W409" s="2" t="str">
        <f aca="false">IF(OR($D409="",$C409=""),"",MATCH(MAX(10,MIN(150,$C409)),'Flow Curves'!$A$5:$A$11,1))</f>
        <v/>
      </c>
      <c r="X409" s="2" t="str">
        <f aca="false">IF($W409="","",MIN($W409+1,7))</f>
        <v/>
      </c>
      <c r="Y409" s="2" t="str">
        <f aca="false">IF($W409="","",INDEX('Flow Curves'!$B$5:$B$11,$W409)*POWER($D409,INDEX('Flow Curves'!$C$5:$C$11,$W409)))</f>
        <v/>
      </c>
      <c r="Z409" s="2" t="str">
        <f aca="false">IF($W409="","",INDEX('Flow Curves'!$B$5:$B$11,$X409)*POWER($D409,INDEX('Flow Curves'!$C$5:$C$11,$X409)))</f>
        <v/>
      </c>
    </row>
    <row r="410" customFormat="false" ht="15" hidden="false" customHeight="false" outlineLevel="0" collapsed="false">
      <c r="A410" s="16" t="n">
        <v>403</v>
      </c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8" t="n">
        <f aca="false">IF($O410=0,0,$O410*60*Cost!$D$16*Cost!$D$17*IFERROR(INDEX(Cost!$I$5:$I$11,MATCH($B410,Cost!$H$5:$H$11,0)),0)/Cost!$D$5)</f>
        <v>0</v>
      </c>
      <c r="O410" s="19" t="n">
        <f aca="false">IF($W410="",0,IF(INDEX('Flow Curves'!$A$5:$A$11,$X410)=INDEX('Flow Curves'!$A$5:$A$11,$W410),$Y410,$Y410+($Z410-$Y410)*(MAX(10,MIN(150,$C410))-INDEX('Flow Curves'!$A$5:$A$11,$W410))/(INDEX('Flow Curves'!$A$5:$A$11,$X410)-INDEX('Flow Curves'!$A$5:$A$11,$W410))))</f>
        <v>0</v>
      </c>
      <c r="P410" s="20" t="n">
        <f aca="false">IF(OR($B410="Air",$B410="Open Blow"),$O410*60*Cost!$D$16*Cost!$D$17/Cost!$D$5*Cost!$D$13,0)</f>
        <v>0</v>
      </c>
      <c r="Q410" s="17"/>
      <c r="U410" s="16" t="str">
        <f aca="false">IF($D410="","",IF(ISNA(MATCH($B410,Cost!$H$5:$H$11,0)),"CHECK GAS TYPE",IF(OR($C410&lt;10,$C410&gt;150),"CHECK PRESSURE: outside 10-150 psi table",IF(OR($D410&lt;1,$D410&gt;120),"CHECK dB: outside 1-120 table",IF(ISNA(MATCH($C410,'Flow Curves'!$A$5:$A$11,0)),"INTERPOLATED between curves","Table curve")))))</f>
        <v/>
      </c>
      <c r="W410" s="2" t="str">
        <f aca="false">IF(OR($D410="",$C410=""),"",MATCH(MAX(10,MIN(150,$C410)),'Flow Curves'!$A$5:$A$11,1))</f>
        <v/>
      </c>
      <c r="X410" s="2" t="str">
        <f aca="false">IF($W410="","",MIN($W410+1,7))</f>
        <v/>
      </c>
      <c r="Y410" s="2" t="str">
        <f aca="false">IF($W410="","",INDEX('Flow Curves'!$B$5:$B$11,$W410)*POWER($D410,INDEX('Flow Curves'!$C$5:$C$11,$W410)))</f>
        <v/>
      </c>
      <c r="Z410" s="2" t="str">
        <f aca="false">IF($W410="","",INDEX('Flow Curves'!$B$5:$B$11,$X410)*POWER($D410,INDEX('Flow Curves'!$C$5:$C$11,$X410)))</f>
        <v/>
      </c>
    </row>
    <row r="411" customFormat="false" ht="15" hidden="false" customHeight="false" outlineLevel="0" collapsed="false">
      <c r="A411" s="16" t="n">
        <v>404</v>
      </c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8" t="n">
        <f aca="false">IF($O411=0,0,$O411*60*Cost!$D$16*Cost!$D$17*IFERROR(INDEX(Cost!$I$5:$I$11,MATCH($B411,Cost!$H$5:$H$11,0)),0)/Cost!$D$5)</f>
        <v>0</v>
      </c>
      <c r="O411" s="19" t="n">
        <f aca="false">IF($W411="",0,IF(INDEX('Flow Curves'!$A$5:$A$11,$X411)=INDEX('Flow Curves'!$A$5:$A$11,$W411),$Y411,$Y411+($Z411-$Y411)*(MAX(10,MIN(150,$C411))-INDEX('Flow Curves'!$A$5:$A$11,$W411))/(INDEX('Flow Curves'!$A$5:$A$11,$X411)-INDEX('Flow Curves'!$A$5:$A$11,$W411))))</f>
        <v>0</v>
      </c>
      <c r="P411" s="20" t="n">
        <f aca="false">IF(OR($B411="Air",$B411="Open Blow"),$O411*60*Cost!$D$16*Cost!$D$17/Cost!$D$5*Cost!$D$13,0)</f>
        <v>0</v>
      </c>
      <c r="Q411" s="17"/>
      <c r="U411" s="16" t="str">
        <f aca="false">IF($D411="","",IF(ISNA(MATCH($B411,Cost!$H$5:$H$11,0)),"CHECK GAS TYPE",IF(OR($C411&lt;10,$C411&gt;150),"CHECK PRESSURE: outside 10-150 psi table",IF(OR($D411&lt;1,$D411&gt;120),"CHECK dB: outside 1-120 table",IF(ISNA(MATCH($C411,'Flow Curves'!$A$5:$A$11,0)),"INTERPOLATED between curves","Table curve")))))</f>
        <v/>
      </c>
      <c r="W411" s="2" t="str">
        <f aca="false">IF(OR($D411="",$C411=""),"",MATCH(MAX(10,MIN(150,$C411)),'Flow Curves'!$A$5:$A$11,1))</f>
        <v/>
      </c>
      <c r="X411" s="2" t="str">
        <f aca="false">IF($W411="","",MIN($W411+1,7))</f>
        <v/>
      </c>
      <c r="Y411" s="2" t="str">
        <f aca="false">IF($W411="","",INDEX('Flow Curves'!$B$5:$B$11,$W411)*POWER($D411,INDEX('Flow Curves'!$C$5:$C$11,$W411)))</f>
        <v/>
      </c>
      <c r="Z411" s="2" t="str">
        <f aca="false">IF($W411="","",INDEX('Flow Curves'!$B$5:$B$11,$X411)*POWER($D411,INDEX('Flow Curves'!$C$5:$C$11,$X411)))</f>
        <v/>
      </c>
    </row>
    <row r="412" customFormat="false" ht="15" hidden="false" customHeight="false" outlineLevel="0" collapsed="false">
      <c r="A412" s="16" t="n">
        <v>405</v>
      </c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8" t="n">
        <f aca="false">IF($O412=0,0,$O412*60*Cost!$D$16*Cost!$D$17*IFERROR(INDEX(Cost!$I$5:$I$11,MATCH($B412,Cost!$H$5:$H$11,0)),0)/Cost!$D$5)</f>
        <v>0</v>
      </c>
      <c r="O412" s="19" t="n">
        <f aca="false">IF($W412="",0,IF(INDEX('Flow Curves'!$A$5:$A$11,$X412)=INDEX('Flow Curves'!$A$5:$A$11,$W412),$Y412,$Y412+($Z412-$Y412)*(MAX(10,MIN(150,$C412))-INDEX('Flow Curves'!$A$5:$A$11,$W412))/(INDEX('Flow Curves'!$A$5:$A$11,$X412)-INDEX('Flow Curves'!$A$5:$A$11,$W412))))</f>
        <v>0</v>
      </c>
      <c r="P412" s="20" t="n">
        <f aca="false">IF(OR($B412="Air",$B412="Open Blow"),$O412*60*Cost!$D$16*Cost!$D$17/Cost!$D$5*Cost!$D$13,0)</f>
        <v>0</v>
      </c>
      <c r="Q412" s="17"/>
      <c r="U412" s="16" t="str">
        <f aca="false">IF($D412="","",IF(ISNA(MATCH($B412,Cost!$H$5:$H$11,0)),"CHECK GAS TYPE",IF(OR($C412&lt;10,$C412&gt;150),"CHECK PRESSURE: outside 10-150 psi table",IF(OR($D412&lt;1,$D412&gt;120),"CHECK dB: outside 1-120 table",IF(ISNA(MATCH($C412,'Flow Curves'!$A$5:$A$11,0)),"INTERPOLATED between curves","Table curve")))))</f>
        <v/>
      </c>
      <c r="W412" s="2" t="str">
        <f aca="false">IF(OR($D412="",$C412=""),"",MATCH(MAX(10,MIN(150,$C412)),'Flow Curves'!$A$5:$A$11,1))</f>
        <v/>
      </c>
      <c r="X412" s="2" t="str">
        <f aca="false">IF($W412="","",MIN($W412+1,7))</f>
        <v/>
      </c>
      <c r="Y412" s="2" t="str">
        <f aca="false">IF($W412="","",INDEX('Flow Curves'!$B$5:$B$11,$W412)*POWER($D412,INDEX('Flow Curves'!$C$5:$C$11,$W412)))</f>
        <v/>
      </c>
      <c r="Z412" s="2" t="str">
        <f aca="false">IF($W412="","",INDEX('Flow Curves'!$B$5:$B$11,$X412)*POWER($D412,INDEX('Flow Curves'!$C$5:$C$11,$X412)))</f>
        <v/>
      </c>
    </row>
    <row r="413" customFormat="false" ht="15" hidden="false" customHeight="false" outlineLevel="0" collapsed="false">
      <c r="A413" s="16" t="n">
        <v>406</v>
      </c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8" t="n">
        <f aca="false">IF($O413=0,0,$O413*60*Cost!$D$16*Cost!$D$17*IFERROR(INDEX(Cost!$I$5:$I$11,MATCH($B413,Cost!$H$5:$H$11,0)),0)/Cost!$D$5)</f>
        <v>0</v>
      </c>
      <c r="O413" s="19" t="n">
        <f aca="false">IF($W413="",0,IF(INDEX('Flow Curves'!$A$5:$A$11,$X413)=INDEX('Flow Curves'!$A$5:$A$11,$W413),$Y413,$Y413+($Z413-$Y413)*(MAX(10,MIN(150,$C413))-INDEX('Flow Curves'!$A$5:$A$11,$W413))/(INDEX('Flow Curves'!$A$5:$A$11,$X413)-INDEX('Flow Curves'!$A$5:$A$11,$W413))))</f>
        <v>0</v>
      </c>
      <c r="P413" s="20" t="n">
        <f aca="false">IF(OR($B413="Air",$B413="Open Blow"),$O413*60*Cost!$D$16*Cost!$D$17/Cost!$D$5*Cost!$D$13,0)</f>
        <v>0</v>
      </c>
      <c r="Q413" s="17"/>
      <c r="U413" s="16" t="str">
        <f aca="false">IF($D413="","",IF(ISNA(MATCH($B413,Cost!$H$5:$H$11,0)),"CHECK GAS TYPE",IF(OR($C413&lt;10,$C413&gt;150),"CHECK PRESSURE: outside 10-150 psi table",IF(OR($D413&lt;1,$D413&gt;120),"CHECK dB: outside 1-120 table",IF(ISNA(MATCH($C413,'Flow Curves'!$A$5:$A$11,0)),"INTERPOLATED between curves","Table curve")))))</f>
        <v/>
      </c>
      <c r="W413" s="2" t="str">
        <f aca="false">IF(OR($D413="",$C413=""),"",MATCH(MAX(10,MIN(150,$C413)),'Flow Curves'!$A$5:$A$11,1))</f>
        <v/>
      </c>
      <c r="X413" s="2" t="str">
        <f aca="false">IF($W413="","",MIN($W413+1,7))</f>
        <v/>
      </c>
      <c r="Y413" s="2" t="str">
        <f aca="false">IF($W413="","",INDEX('Flow Curves'!$B$5:$B$11,$W413)*POWER($D413,INDEX('Flow Curves'!$C$5:$C$11,$W413)))</f>
        <v/>
      </c>
      <c r="Z413" s="2" t="str">
        <f aca="false">IF($W413="","",INDEX('Flow Curves'!$B$5:$B$11,$X413)*POWER($D413,INDEX('Flow Curves'!$C$5:$C$11,$X413)))</f>
        <v/>
      </c>
    </row>
    <row r="414" customFormat="false" ht="15" hidden="false" customHeight="false" outlineLevel="0" collapsed="false">
      <c r="A414" s="16" t="n">
        <v>407</v>
      </c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8" t="n">
        <f aca="false">IF($O414=0,0,$O414*60*Cost!$D$16*Cost!$D$17*IFERROR(INDEX(Cost!$I$5:$I$11,MATCH($B414,Cost!$H$5:$H$11,0)),0)/Cost!$D$5)</f>
        <v>0</v>
      </c>
      <c r="O414" s="19" t="n">
        <f aca="false">IF($W414="",0,IF(INDEX('Flow Curves'!$A$5:$A$11,$X414)=INDEX('Flow Curves'!$A$5:$A$11,$W414),$Y414,$Y414+($Z414-$Y414)*(MAX(10,MIN(150,$C414))-INDEX('Flow Curves'!$A$5:$A$11,$W414))/(INDEX('Flow Curves'!$A$5:$A$11,$X414)-INDEX('Flow Curves'!$A$5:$A$11,$W414))))</f>
        <v>0</v>
      </c>
      <c r="P414" s="20" t="n">
        <f aca="false">IF(OR($B414="Air",$B414="Open Blow"),$O414*60*Cost!$D$16*Cost!$D$17/Cost!$D$5*Cost!$D$13,0)</f>
        <v>0</v>
      </c>
      <c r="Q414" s="17"/>
      <c r="U414" s="16" t="str">
        <f aca="false">IF($D414="","",IF(ISNA(MATCH($B414,Cost!$H$5:$H$11,0)),"CHECK GAS TYPE",IF(OR($C414&lt;10,$C414&gt;150),"CHECK PRESSURE: outside 10-150 psi table",IF(OR($D414&lt;1,$D414&gt;120),"CHECK dB: outside 1-120 table",IF(ISNA(MATCH($C414,'Flow Curves'!$A$5:$A$11,0)),"INTERPOLATED between curves","Table curve")))))</f>
        <v/>
      </c>
      <c r="W414" s="2" t="str">
        <f aca="false">IF(OR($D414="",$C414=""),"",MATCH(MAX(10,MIN(150,$C414)),'Flow Curves'!$A$5:$A$11,1))</f>
        <v/>
      </c>
      <c r="X414" s="2" t="str">
        <f aca="false">IF($W414="","",MIN($W414+1,7))</f>
        <v/>
      </c>
      <c r="Y414" s="2" t="str">
        <f aca="false">IF($W414="","",INDEX('Flow Curves'!$B$5:$B$11,$W414)*POWER($D414,INDEX('Flow Curves'!$C$5:$C$11,$W414)))</f>
        <v/>
      </c>
      <c r="Z414" s="2" t="str">
        <f aca="false">IF($W414="","",INDEX('Flow Curves'!$B$5:$B$11,$X414)*POWER($D414,INDEX('Flow Curves'!$C$5:$C$11,$X414)))</f>
        <v/>
      </c>
    </row>
    <row r="415" customFormat="false" ht="15" hidden="false" customHeight="false" outlineLevel="0" collapsed="false">
      <c r="A415" s="16" t="n">
        <v>408</v>
      </c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8" t="n">
        <f aca="false">IF($O415=0,0,$O415*60*Cost!$D$16*Cost!$D$17*IFERROR(INDEX(Cost!$I$5:$I$11,MATCH($B415,Cost!$H$5:$H$11,0)),0)/Cost!$D$5)</f>
        <v>0</v>
      </c>
      <c r="O415" s="19" t="n">
        <f aca="false">IF($W415="",0,IF(INDEX('Flow Curves'!$A$5:$A$11,$X415)=INDEX('Flow Curves'!$A$5:$A$11,$W415),$Y415,$Y415+($Z415-$Y415)*(MAX(10,MIN(150,$C415))-INDEX('Flow Curves'!$A$5:$A$11,$W415))/(INDEX('Flow Curves'!$A$5:$A$11,$X415)-INDEX('Flow Curves'!$A$5:$A$11,$W415))))</f>
        <v>0</v>
      </c>
      <c r="P415" s="20" t="n">
        <f aca="false">IF(OR($B415="Air",$B415="Open Blow"),$O415*60*Cost!$D$16*Cost!$D$17/Cost!$D$5*Cost!$D$13,0)</f>
        <v>0</v>
      </c>
      <c r="Q415" s="17"/>
      <c r="U415" s="16" t="str">
        <f aca="false">IF($D415="","",IF(ISNA(MATCH($B415,Cost!$H$5:$H$11,0)),"CHECK GAS TYPE",IF(OR($C415&lt;10,$C415&gt;150),"CHECK PRESSURE: outside 10-150 psi table",IF(OR($D415&lt;1,$D415&gt;120),"CHECK dB: outside 1-120 table",IF(ISNA(MATCH($C415,'Flow Curves'!$A$5:$A$11,0)),"INTERPOLATED between curves","Table curve")))))</f>
        <v/>
      </c>
      <c r="W415" s="2" t="str">
        <f aca="false">IF(OR($D415="",$C415=""),"",MATCH(MAX(10,MIN(150,$C415)),'Flow Curves'!$A$5:$A$11,1))</f>
        <v/>
      </c>
      <c r="X415" s="2" t="str">
        <f aca="false">IF($W415="","",MIN($W415+1,7))</f>
        <v/>
      </c>
      <c r="Y415" s="2" t="str">
        <f aca="false">IF($W415="","",INDEX('Flow Curves'!$B$5:$B$11,$W415)*POWER($D415,INDEX('Flow Curves'!$C$5:$C$11,$W415)))</f>
        <v/>
      </c>
      <c r="Z415" s="2" t="str">
        <f aca="false">IF($W415="","",INDEX('Flow Curves'!$B$5:$B$11,$X415)*POWER($D415,INDEX('Flow Curves'!$C$5:$C$11,$X415)))</f>
        <v/>
      </c>
    </row>
    <row r="416" customFormat="false" ht="15" hidden="false" customHeight="false" outlineLevel="0" collapsed="false">
      <c r="A416" s="16" t="n">
        <v>409</v>
      </c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8" t="n">
        <f aca="false">IF($O416=0,0,$O416*60*Cost!$D$16*Cost!$D$17*IFERROR(INDEX(Cost!$I$5:$I$11,MATCH($B416,Cost!$H$5:$H$11,0)),0)/Cost!$D$5)</f>
        <v>0</v>
      </c>
      <c r="O416" s="19" t="n">
        <f aca="false">IF($W416="",0,IF(INDEX('Flow Curves'!$A$5:$A$11,$X416)=INDEX('Flow Curves'!$A$5:$A$11,$W416),$Y416,$Y416+($Z416-$Y416)*(MAX(10,MIN(150,$C416))-INDEX('Flow Curves'!$A$5:$A$11,$W416))/(INDEX('Flow Curves'!$A$5:$A$11,$X416)-INDEX('Flow Curves'!$A$5:$A$11,$W416))))</f>
        <v>0</v>
      </c>
      <c r="P416" s="20" t="n">
        <f aca="false">IF(OR($B416="Air",$B416="Open Blow"),$O416*60*Cost!$D$16*Cost!$D$17/Cost!$D$5*Cost!$D$13,0)</f>
        <v>0</v>
      </c>
      <c r="Q416" s="17"/>
      <c r="U416" s="16" t="str">
        <f aca="false">IF($D416="","",IF(ISNA(MATCH($B416,Cost!$H$5:$H$11,0)),"CHECK GAS TYPE",IF(OR($C416&lt;10,$C416&gt;150),"CHECK PRESSURE: outside 10-150 psi table",IF(OR($D416&lt;1,$D416&gt;120),"CHECK dB: outside 1-120 table",IF(ISNA(MATCH($C416,'Flow Curves'!$A$5:$A$11,0)),"INTERPOLATED between curves","Table curve")))))</f>
        <v/>
      </c>
      <c r="W416" s="2" t="str">
        <f aca="false">IF(OR($D416="",$C416=""),"",MATCH(MAX(10,MIN(150,$C416)),'Flow Curves'!$A$5:$A$11,1))</f>
        <v/>
      </c>
      <c r="X416" s="2" t="str">
        <f aca="false">IF($W416="","",MIN($W416+1,7))</f>
        <v/>
      </c>
      <c r="Y416" s="2" t="str">
        <f aca="false">IF($W416="","",INDEX('Flow Curves'!$B$5:$B$11,$W416)*POWER($D416,INDEX('Flow Curves'!$C$5:$C$11,$W416)))</f>
        <v/>
      </c>
      <c r="Z416" s="2" t="str">
        <f aca="false">IF($W416="","",INDEX('Flow Curves'!$B$5:$B$11,$X416)*POWER($D416,INDEX('Flow Curves'!$C$5:$C$11,$X416)))</f>
        <v/>
      </c>
    </row>
    <row r="417" customFormat="false" ht="15" hidden="false" customHeight="false" outlineLevel="0" collapsed="false">
      <c r="A417" s="16" t="n">
        <v>410</v>
      </c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8" t="n">
        <f aca="false">IF($O417=0,0,$O417*60*Cost!$D$16*Cost!$D$17*IFERROR(INDEX(Cost!$I$5:$I$11,MATCH($B417,Cost!$H$5:$H$11,0)),0)/Cost!$D$5)</f>
        <v>0</v>
      </c>
      <c r="O417" s="19" t="n">
        <f aca="false">IF($W417="",0,IF(INDEX('Flow Curves'!$A$5:$A$11,$X417)=INDEX('Flow Curves'!$A$5:$A$11,$W417),$Y417,$Y417+($Z417-$Y417)*(MAX(10,MIN(150,$C417))-INDEX('Flow Curves'!$A$5:$A$11,$W417))/(INDEX('Flow Curves'!$A$5:$A$11,$X417)-INDEX('Flow Curves'!$A$5:$A$11,$W417))))</f>
        <v>0</v>
      </c>
      <c r="P417" s="20" t="n">
        <f aca="false">IF(OR($B417="Air",$B417="Open Blow"),$O417*60*Cost!$D$16*Cost!$D$17/Cost!$D$5*Cost!$D$13,0)</f>
        <v>0</v>
      </c>
      <c r="Q417" s="17"/>
      <c r="U417" s="16" t="str">
        <f aca="false">IF($D417="","",IF(ISNA(MATCH($B417,Cost!$H$5:$H$11,0)),"CHECK GAS TYPE",IF(OR($C417&lt;10,$C417&gt;150),"CHECK PRESSURE: outside 10-150 psi table",IF(OR($D417&lt;1,$D417&gt;120),"CHECK dB: outside 1-120 table",IF(ISNA(MATCH($C417,'Flow Curves'!$A$5:$A$11,0)),"INTERPOLATED between curves","Table curve")))))</f>
        <v/>
      </c>
      <c r="W417" s="2" t="str">
        <f aca="false">IF(OR($D417="",$C417=""),"",MATCH(MAX(10,MIN(150,$C417)),'Flow Curves'!$A$5:$A$11,1))</f>
        <v/>
      </c>
      <c r="X417" s="2" t="str">
        <f aca="false">IF($W417="","",MIN($W417+1,7))</f>
        <v/>
      </c>
      <c r="Y417" s="2" t="str">
        <f aca="false">IF($W417="","",INDEX('Flow Curves'!$B$5:$B$11,$W417)*POWER($D417,INDEX('Flow Curves'!$C$5:$C$11,$W417)))</f>
        <v/>
      </c>
      <c r="Z417" s="2" t="str">
        <f aca="false">IF($W417="","",INDEX('Flow Curves'!$B$5:$B$11,$X417)*POWER($D417,INDEX('Flow Curves'!$C$5:$C$11,$X417)))</f>
        <v/>
      </c>
    </row>
    <row r="418" customFormat="false" ht="15" hidden="false" customHeight="false" outlineLevel="0" collapsed="false">
      <c r="A418" s="16" t="n">
        <v>411</v>
      </c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8" t="n">
        <f aca="false">IF($O418=0,0,$O418*60*Cost!$D$16*Cost!$D$17*IFERROR(INDEX(Cost!$I$5:$I$11,MATCH($B418,Cost!$H$5:$H$11,0)),0)/Cost!$D$5)</f>
        <v>0</v>
      </c>
      <c r="O418" s="19" t="n">
        <f aca="false">IF($W418="",0,IF(INDEX('Flow Curves'!$A$5:$A$11,$X418)=INDEX('Flow Curves'!$A$5:$A$11,$W418),$Y418,$Y418+($Z418-$Y418)*(MAX(10,MIN(150,$C418))-INDEX('Flow Curves'!$A$5:$A$11,$W418))/(INDEX('Flow Curves'!$A$5:$A$11,$X418)-INDEX('Flow Curves'!$A$5:$A$11,$W418))))</f>
        <v>0</v>
      </c>
      <c r="P418" s="20" t="n">
        <f aca="false">IF(OR($B418="Air",$B418="Open Blow"),$O418*60*Cost!$D$16*Cost!$D$17/Cost!$D$5*Cost!$D$13,0)</f>
        <v>0</v>
      </c>
      <c r="Q418" s="17"/>
      <c r="U418" s="16" t="str">
        <f aca="false">IF($D418="","",IF(ISNA(MATCH($B418,Cost!$H$5:$H$11,0)),"CHECK GAS TYPE",IF(OR($C418&lt;10,$C418&gt;150),"CHECK PRESSURE: outside 10-150 psi table",IF(OR($D418&lt;1,$D418&gt;120),"CHECK dB: outside 1-120 table",IF(ISNA(MATCH($C418,'Flow Curves'!$A$5:$A$11,0)),"INTERPOLATED between curves","Table curve")))))</f>
        <v/>
      </c>
      <c r="W418" s="2" t="str">
        <f aca="false">IF(OR($D418="",$C418=""),"",MATCH(MAX(10,MIN(150,$C418)),'Flow Curves'!$A$5:$A$11,1))</f>
        <v/>
      </c>
      <c r="X418" s="2" t="str">
        <f aca="false">IF($W418="","",MIN($W418+1,7))</f>
        <v/>
      </c>
      <c r="Y418" s="2" t="str">
        <f aca="false">IF($W418="","",INDEX('Flow Curves'!$B$5:$B$11,$W418)*POWER($D418,INDEX('Flow Curves'!$C$5:$C$11,$W418)))</f>
        <v/>
      </c>
      <c r="Z418" s="2" t="str">
        <f aca="false">IF($W418="","",INDEX('Flow Curves'!$B$5:$B$11,$X418)*POWER($D418,INDEX('Flow Curves'!$C$5:$C$11,$X418)))</f>
        <v/>
      </c>
    </row>
    <row r="419" customFormat="false" ht="15" hidden="false" customHeight="false" outlineLevel="0" collapsed="false">
      <c r="A419" s="16" t="n">
        <v>412</v>
      </c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8" t="n">
        <f aca="false">IF($O419=0,0,$O419*60*Cost!$D$16*Cost!$D$17*IFERROR(INDEX(Cost!$I$5:$I$11,MATCH($B419,Cost!$H$5:$H$11,0)),0)/Cost!$D$5)</f>
        <v>0</v>
      </c>
      <c r="O419" s="19" t="n">
        <f aca="false">IF($W419="",0,IF(INDEX('Flow Curves'!$A$5:$A$11,$X419)=INDEX('Flow Curves'!$A$5:$A$11,$W419),$Y419,$Y419+($Z419-$Y419)*(MAX(10,MIN(150,$C419))-INDEX('Flow Curves'!$A$5:$A$11,$W419))/(INDEX('Flow Curves'!$A$5:$A$11,$X419)-INDEX('Flow Curves'!$A$5:$A$11,$W419))))</f>
        <v>0</v>
      </c>
      <c r="P419" s="20" t="n">
        <f aca="false">IF(OR($B419="Air",$B419="Open Blow"),$O419*60*Cost!$D$16*Cost!$D$17/Cost!$D$5*Cost!$D$13,0)</f>
        <v>0</v>
      </c>
      <c r="Q419" s="17"/>
      <c r="U419" s="16" t="str">
        <f aca="false">IF($D419="","",IF(ISNA(MATCH($B419,Cost!$H$5:$H$11,0)),"CHECK GAS TYPE",IF(OR($C419&lt;10,$C419&gt;150),"CHECK PRESSURE: outside 10-150 psi table",IF(OR($D419&lt;1,$D419&gt;120),"CHECK dB: outside 1-120 table",IF(ISNA(MATCH($C419,'Flow Curves'!$A$5:$A$11,0)),"INTERPOLATED between curves","Table curve")))))</f>
        <v/>
      </c>
      <c r="W419" s="2" t="str">
        <f aca="false">IF(OR($D419="",$C419=""),"",MATCH(MAX(10,MIN(150,$C419)),'Flow Curves'!$A$5:$A$11,1))</f>
        <v/>
      </c>
      <c r="X419" s="2" t="str">
        <f aca="false">IF($W419="","",MIN($W419+1,7))</f>
        <v/>
      </c>
      <c r="Y419" s="2" t="str">
        <f aca="false">IF($W419="","",INDEX('Flow Curves'!$B$5:$B$11,$W419)*POWER($D419,INDEX('Flow Curves'!$C$5:$C$11,$W419)))</f>
        <v/>
      </c>
      <c r="Z419" s="2" t="str">
        <f aca="false">IF($W419="","",INDEX('Flow Curves'!$B$5:$B$11,$X419)*POWER($D419,INDEX('Flow Curves'!$C$5:$C$11,$X419)))</f>
        <v/>
      </c>
    </row>
    <row r="420" customFormat="false" ht="15" hidden="false" customHeight="false" outlineLevel="0" collapsed="false">
      <c r="A420" s="16" t="n">
        <v>413</v>
      </c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8" t="n">
        <f aca="false">IF($O420=0,0,$O420*60*Cost!$D$16*Cost!$D$17*IFERROR(INDEX(Cost!$I$5:$I$11,MATCH($B420,Cost!$H$5:$H$11,0)),0)/Cost!$D$5)</f>
        <v>0</v>
      </c>
      <c r="O420" s="19" t="n">
        <f aca="false">IF($W420="",0,IF(INDEX('Flow Curves'!$A$5:$A$11,$X420)=INDEX('Flow Curves'!$A$5:$A$11,$W420),$Y420,$Y420+($Z420-$Y420)*(MAX(10,MIN(150,$C420))-INDEX('Flow Curves'!$A$5:$A$11,$W420))/(INDEX('Flow Curves'!$A$5:$A$11,$X420)-INDEX('Flow Curves'!$A$5:$A$11,$W420))))</f>
        <v>0</v>
      </c>
      <c r="P420" s="20" t="n">
        <f aca="false">IF(OR($B420="Air",$B420="Open Blow"),$O420*60*Cost!$D$16*Cost!$D$17/Cost!$D$5*Cost!$D$13,0)</f>
        <v>0</v>
      </c>
      <c r="Q420" s="17"/>
      <c r="U420" s="16" t="str">
        <f aca="false">IF($D420="","",IF(ISNA(MATCH($B420,Cost!$H$5:$H$11,0)),"CHECK GAS TYPE",IF(OR($C420&lt;10,$C420&gt;150),"CHECK PRESSURE: outside 10-150 psi table",IF(OR($D420&lt;1,$D420&gt;120),"CHECK dB: outside 1-120 table",IF(ISNA(MATCH($C420,'Flow Curves'!$A$5:$A$11,0)),"INTERPOLATED between curves","Table curve")))))</f>
        <v/>
      </c>
      <c r="W420" s="2" t="str">
        <f aca="false">IF(OR($D420="",$C420=""),"",MATCH(MAX(10,MIN(150,$C420)),'Flow Curves'!$A$5:$A$11,1))</f>
        <v/>
      </c>
      <c r="X420" s="2" t="str">
        <f aca="false">IF($W420="","",MIN($W420+1,7))</f>
        <v/>
      </c>
      <c r="Y420" s="2" t="str">
        <f aca="false">IF($W420="","",INDEX('Flow Curves'!$B$5:$B$11,$W420)*POWER($D420,INDEX('Flow Curves'!$C$5:$C$11,$W420)))</f>
        <v/>
      </c>
      <c r="Z420" s="2" t="str">
        <f aca="false">IF($W420="","",INDEX('Flow Curves'!$B$5:$B$11,$X420)*POWER($D420,INDEX('Flow Curves'!$C$5:$C$11,$X420)))</f>
        <v/>
      </c>
    </row>
    <row r="421" customFormat="false" ht="15" hidden="false" customHeight="false" outlineLevel="0" collapsed="false">
      <c r="A421" s="16" t="n">
        <v>414</v>
      </c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8" t="n">
        <f aca="false">IF($O421=0,0,$O421*60*Cost!$D$16*Cost!$D$17*IFERROR(INDEX(Cost!$I$5:$I$11,MATCH($B421,Cost!$H$5:$H$11,0)),0)/Cost!$D$5)</f>
        <v>0</v>
      </c>
      <c r="O421" s="19" t="n">
        <f aca="false">IF($W421="",0,IF(INDEX('Flow Curves'!$A$5:$A$11,$X421)=INDEX('Flow Curves'!$A$5:$A$11,$W421),$Y421,$Y421+($Z421-$Y421)*(MAX(10,MIN(150,$C421))-INDEX('Flow Curves'!$A$5:$A$11,$W421))/(INDEX('Flow Curves'!$A$5:$A$11,$X421)-INDEX('Flow Curves'!$A$5:$A$11,$W421))))</f>
        <v>0</v>
      </c>
      <c r="P421" s="20" t="n">
        <f aca="false">IF(OR($B421="Air",$B421="Open Blow"),$O421*60*Cost!$D$16*Cost!$D$17/Cost!$D$5*Cost!$D$13,0)</f>
        <v>0</v>
      </c>
      <c r="Q421" s="17"/>
      <c r="U421" s="16" t="str">
        <f aca="false">IF($D421="","",IF(ISNA(MATCH($B421,Cost!$H$5:$H$11,0)),"CHECK GAS TYPE",IF(OR($C421&lt;10,$C421&gt;150),"CHECK PRESSURE: outside 10-150 psi table",IF(OR($D421&lt;1,$D421&gt;120),"CHECK dB: outside 1-120 table",IF(ISNA(MATCH($C421,'Flow Curves'!$A$5:$A$11,0)),"INTERPOLATED between curves","Table curve")))))</f>
        <v/>
      </c>
      <c r="W421" s="2" t="str">
        <f aca="false">IF(OR($D421="",$C421=""),"",MATCH(MAX(10,MIN(150,$C421)),'Flow Curves'!$A$5:$A$11,1))</f>
        <v/>
      </c>
      <c r="X421" s="2" t="str">
        <f aca="false">IF($W421="","",MIN($W421+1,7))</f>
        <v/>
      </c>
      <c r="Y421" s="2" t="str">
        <f aca="false">IF($W421="","",INDEX('Flow Curves'!$B$5:$B$11,$W421)*POWER($D421,INDEX('Flow Curves'!$C$5:$C$11,$W421)))</f>
        <v/>
      </c>
      <c r="Z421" s="2" t="str">
        <f aca="false">IF($W421="","",INDEX('Flow Curves'!$B$5:$B$11,$X421)*POWER($D421,INDEX('Flow Curves'!$C$5:$C$11,$X421)))</f>
        <v/>
      </c>
    </row>
    <row r="422" customFormat="false" ht="15" hidden="false" customHeight="false" outlineLevel="0" collapsed="false">
      <c r="A422" s="16" t="n">
        <v>415</v>
      </c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8" t="n">
        <f aca="false">IF($O422=0,0,$O422*60*Cost!$D$16*Cost!$D$17*IFERROR(INDEX(Cost!$I$5:$I$11,MATCH($B422,Cost!$H$5:$H$11,0)),0)/Cost!$D$5)</f>
        <v>0</v>
      </c>
      <c r="O422" s="19" t="n">
        <f aca="false">IF($W422="",0,IF(INDEX('Flow Curves'!$A$5:$A$11,$X422)=INDEX('Flow Curves'!$A$5:$A$11,$W422),$Y422,$Y422+($Z422-$Y422)*(MAX(10,MIN(150,$C422))-INDEX('Flow Curves'!$A$5:$A$11,$W422))/(INDEX('Flow Curves'!$A$5:$A$11,$X422)-INDEX('Flow Curves'!$A$5:$A$11,$W422))))</f>
        <v>0</v>
      </c>
      <c r="P422" s="20" t="n">
        <f aca="false">IF(OR($B422="Air",$B422="Open Blow"),$O422*60*Cost!$D$16*Cost!$D$17/Cost!$D$5*Cost!$D$13,0)</f>
        <v>0</v>
      </c>
      <c r="Q422" s="17"/>
      <c r="U422" s="16" t="str">
        <f aca="false">IF($D422="","",IF(ISNA(MATCH($B422,Cost!$H$5:$H$11,0)),"CHECK GAS TYPE",IF(OR($C422&lt;10,$C422&gt;150),"CHECK PRESSURE: outside 10-150 psi table",IF(OR($D422&lt;1,$D422&gt;120),"CHECK dB: outside 1-120 table",IF(ISNA(MATCH($C422,'Flow Curves'!$A$5:$A$11,0)),"INTERPOLATED between curves","Table curve")))))</f>
        <v/>
      </c>
      <c r="W422" s="2" t="str">
        <f aca="false">IF(OR($D422="",$C422=""),"",MATCH(MAX(10,MIN(150,$C422)),'Flow Curves'!$A$5:$A$11,1))</f>
        <v/>
      </c>
      <c r="X422" s="2" t="str">
        <f aca="false">IF($W422="","",MIN($W422+1,7))</f>
        <v/>
      </c>
      <c r="Y422" s="2" t="str">
        <f aca="false">IF($W422="","",INDEX('Flow Curves'!$B$5:$B$11,$W422)*POWER($D422,INDEX('Flow Curves'!$C$5:$C$11,$W422)))</f>
        <v/>
      </c>
      <c r="Z422" s="2" t="str">
        <f aca="false">IF($W422="","",INDEX('Flow Curves'!$B$5:$B$11,$X422)*POWER($D422,INDEX('Flow Curves'!$C$5:$C$11,$X422)))</f>
        <v/>
      </c>
    </row>
    <row r="423" customFormat="false" ht="15" hidden="false" customHeight="false" outlineLevel="0" collapsed="false">
      <c r="A423" s="16" t="n">
        <v>416</v>
      </c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8" t="n">
        <f aca="false">IF($O423=0,0,$O423*60*Cost!$D$16*Cost!$D$17*IFERROR(INDEX(Cost!$I$5:$I$11,MATCH($B423,Cost!$H$5:$H$11,0)),0)/Cost!$D$5)</f>
        <v>0</v>
      </c>
      <c r="O423" s="19" t="n">
        <f aca="false">IF($W423="",0,IF(INDEX('Flow Curves'!$A$5:$A$11,$X423)=INDEX('Flow Curves'!$A$5:$A$11,$W423),$Y423,$Y423+($Z423-$Y423)*(MAX(10,MIN(150,$C423))-INDEX('Flow Curves'!$A$5:$A$11,$W423))/(INDEX('Flow Curves'!$A$5:$A$11,$X423)-INDEX('Flow Curves'!$A$5:$A$11,$W423))))</f>
        <v>0</v>
      </c>
      <c r="P423" s="20" t="n">
        <f aca="false">IF(OR($B423="Air",$B423="Open Blow"),$O423*60*Cost!$D$16*Cost!$D$17/Cost!$D$5*Cost!$D$13,0)</f>
        <v>0</v>
      </c>
      <c r="Q423" s="17"/>
      <c r="U423" s="16" t="str">
        <f aca="false">IF($D423="","",IF(ISNA(MATCH($B423,Cost!$H$5:$H$11,0)),"CHECK GAS TYPE",IF(OR($C423&lt;10,$C423&gt;150),"CHECK PRESSURE: outside 10-150 psi table",IF(OR($D423&lt;1,$D423&gt;120),"CHECK dB: outside 1-120 table",IF(ISNA(MATCH($C423,'Flow Curves'!$A$5:$A$11,0)),"INTERPOLATED between curves","Table curve")))))</f>
        <v/>
      </c>
      <c r="W423" s="2" t="str">
        <f aca="false">IF(OR($D423="",$C423=""),"",MATCH(MAX(10,MIN(150,$C423)),'Flow Curves'!$A$5:$A$11,1))</f>
        <v/>
      </c>
      <c r="X423" s="2" t="str">
        <f aca="false">IF($W423="","",MIN($W423+1,7))</f>
        <v/>
      </c>
      <c r="Y423" s="2" t="str">
        <f aca="false">IF($W423="","",INDEX('Flow Curves'!$B$5:$B$11,$W423)*POWER($D423,INDEX('Flow Curves'!$C$5:$C$11,$W423)))</f>
        <v/>
      </c>
      <c r="Z423" s="2" t="str">
        <f aca="false">IF($W423="","",INDEX('Flow Curves'!$B$5:$B$11,$X423)*POWER($D423,INDEX('Flow Curves'!$C$5:$C$11,$X423)))</f>
        <v/>
      </c>
    </row>
    <row r="424" customFormat="false" ht="15" hidden="false" customHeight="false" outlineLevel="0" collapsed="false">
      <c r="A424" s="16" t="n">
        <v>417</v>
      </c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8" t="n">
        <f aca="false">IF($O424=0,0,$O424*60*Cost!$D$16*Cost!$D$17*IFERROR(INDEX(Cost!$I$5:$I$11,MATCH($B424,Cost!$H$5:$H$11,0)),0)/Cost!$D$5)</f>
        <v>0</v>
      </c>
      <c r="O424" s="19" t="n">
        <f aca="false">IF($W424="",0,IF(INDEX('Flow Curves'!$A$5:$A$11,$X424)=INDEX('Flow Curves'!$A$5:$A$11,$W424),$Y424,$Y424+($Z424-$Y424)*(MAX(10,MIN(150,$C424))-INDEX('Flow Curves'!$A$5:$A$11,$W424))/(INDEX('Flow Curves'!$A$5:$A$11,$X424)-INDEX('Flow Curves'!$A$5:$A$11,$W424))))</f>
        <v>0</v>
      </c>
      <c r="P424" s="20" t="n">
        <f aca="false">IF(OR($B424="Air",$B424="Open Blow"),$O424*60*Cost!$D$16*Cost!$D$17/Cost!$D$5*Cost!$D$13,0)</f>
        <v>0</v>
      </c>
      <c r="Q424" s="17"/>
      <c r="U424" s="16" t="str">
        <f aca="false">IF($D424="","",IF(ISNA(MATCH($B424,Cost!$H$5:$H$11,0)),"CHECK GAS TYPE",IF(OR($C424&lt;10,$C424&gt;150),"CHECK PRESSURE: outside 10-150 psi table",IF(OR($D424&lt;1,$D424&gt;120),"CHECK dB: outside 1-120 table",IF(ISNA(MATCH($C424,'Flow Curves'!$A$5:$A$11,0)),"INTERPOLATED between curves","Table curve")))))</f>
        <v/>
      </c>
      <c r="W424" s="2" t="str">
        <f aca="false">IF(OR($D424="",$C424=""),"",MATCH(MAX(10,MIN(150,$C424)),'Flow Curves'!$A$5:$A$11,1))</f>
        <v/>
      </c>
      <c r="X424" s="2" t="str">
        <f aca="false">IF($W424="","",MIN($W424+1,7))</f>
        <v/>
      </c>
      <c r="Y424" s="2" t="str">
        <f aca="false">IF($W424="","",INDEX('Flow Curves'!$B$5:$B$11,$W424)*POWER($D424,INDEX('Flow Curves'!$C$5:$C$11,$W424)))</f>
        <v/>
      </c>
      <c r="Z424" s="2" t="str">
        <f aca="false">IF($W424="","",INDEX('Flow Curves'!$B$5:$B$11,$X424)*POWER($D424,INDEX('Flow Curves'!$C$5:$C$11,$X424)))</f>
        <v/>
      </c>
    </row>
    <row r="425" customFormat="false" ht="15" hidden="false" customHeight="false" outlineLevel="0" collapsed="false">
      <c r="A425" s="16" t="n">
        <v>418</v>
      </c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8" t="n">
        <f aca="false">IF($O425=0,0,$O425*60*Cost!$D$16*Cost!$D$17*IFERROR(INDEX(Cost!$I$5:$I$11,MATCH($B425,Cost!$H$5:$H$11,0)),0)/Cost!$D$5)</f>
        <v>0</v>
      </c>
      <c r="O425" s="19" t="n">
        <f aca="false">IF($W425="",0,IF(INDEX('Flow Curves'!$A$5:$A$11,$X425)=INDEX('Flow Curves'!$A$5:$A$11,$W425),$Y425,$Y425+($Z425-$Y425)*(MAX(10,MIN(150,$C425))-INDEX('Flow Curves'!$A$5:$A$11,$W425))/(INDEX('Flow Curves'!$A$5:$A$11,$X425)-INDEX('Flow Curves'!$A$5:$A$11,$W425))))</f>
        <v>0</v>
      </c>
      <c r="P425" s="20" t="n">
        <f aca="false">IF(OR($B425="Air",$B425="Open Blow"),$O425*60*Cost!$D$16*Cost!$D$17/Cost!$D$5*Cost!$D$13,0)</f>
        <v>0</v>
      </c>
      <c r="Q425" s="17"/>
      <c r="U425" s="16" t="str">
        <f aca="false">IF($D425="","",IF(ISNA(MATCH($B425,Cost!$H$5:$H$11,0)),"CHECK GAS TYPE",IF(OR($C425&lt;10,$C425&gt;150),"CHECK PRESSURE: outside 10-150 psi table",IF(OR($D425&lt;1,$D425&gt;120),"CHECK dB: outside 1-120 table",IF(ISNA(MATCH($C425,'Flow Curves'!$A$5:$A$11,0)),"INTERPOLATED between curves","Table curve")))))</f>
        <v/>
      </c>
      <c r="W425" s="2" t="str">
        <f aca="false">IF(OR($D425="",$C425=""),"",MATCH(MAX(10,MIN(150,$C425)),'Flow Curves'!$A$5:$A$11,1))</f>
        <v/>
      </c>
      <c r="X425" s="2" t="str">
        <f aca="false">IF($W425="","",MIN($W425+1,7))</f>
        <v/>
      </c>
      <c r="Y425" s="2" t="str">
        <f aca="false">IF($W425="","",INDEX('Flow Curves'!$B$5:$B$11,$W425)*POWER($D425,INDEX('Flow Curves'!$C$5:$C$11,$W425)))</f>
        <v/>
      </c>
      <c r="Z425" s="2" t="str">
        <f aca="false">IF($W425="","",INDEX('Flow Curves'!$B$5:$B$11,$X425)*POWER($D425,INDEX('Flow Curves'!$C$5:$C$11,$X425)))</f>
        <v/>
      </c>
    </row>
    <row r="426" customFormat="false" ht="15" hidden="false" customHeight="false" outlineLevel="0" collapsed="false">
      <c r="A426" s="16" t="n">
        <v>419</v>
      </c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8" t="n">
        <f aca="false">IF($O426=0,0,$O426*60*Cost!$D$16*Cost!$D$17*IFERROR(INDEX(Cost!$I$5:$I$11,MATCH($B426,Cost!$H$5:$H$11,0)),0)/Cost!$D$5)</f>
        <v>0</v>
      </c>
      <c r="O426" s="19" t="n">
        <f aca="false">IF($W426="",0,IF(INDEX('Flow Curves'!$A$5:$A$11,$X426)=INDEX('Flow Curves'!$A$5:$A$11,$W426),$Y426,$Y426+($Z426-$Y426)*(MAX(10,MIN(150,$C426))-INDEX('Flow Curves'!$A$5:$A$11,$W426))/(INDEX('Flow Curves'!$A$5:$A$11,$X426)-INDEX('Flow Curves'!$A$5:$A$11,$W426))))</f>
        <v>0</v>
      </c>
      <c r="P426" s="20" t="n">
        <f aca="false">IF(OR($B426="Air",$B426="Open Blow"),$O426*60*Cost!$D$16*Cost!$D$17/Cost!$D$5*Cost!$D$13,0)</f>
        <v>0</v>
      </c>
      <c r="Q426" s="17"/>
      <c r="U426" s="16" t="str">
        <f aca="false">IF($D426="","",IF(ISNA(MATCH($B426,Cost!$H$5:$H$11,0)),"CHECK GAS TYPE",IF(OR($C426&lt;10,$C426&gt;150),"CHECK PRESSURE: outside 10-150 psi table",IF(OR($D426&lt;1,$D426&gt;120),"CHECK dB: outside 1-120 table",IF(ISNA(MATCH($C426,'Flow Curves'!$A$5:$A$11,0)),"INTERPOLATED between curves","Table curve")))))</f>
        <v/>
      </c>
      <c r="W426" s="2" t="str">
        <f aca="false">IF(OR($D426="",$C426=""),"",MATCH(MAX(10,MIN(150,$C426)),'Flow Curves'!$A$5:$A$11,1))</f>
        <v/>
      </c>
      <c r="X426" s="2" t="str">
        <f aca="false">IF($W426="","",MIN($W426+1,7))</f>
        <v/>
      </c>
      <c r="Y426" s="2" t="str">
        <f aca="false">IF($W426="","",INDEX('Flow Curves'!$B$5:$B$11,$W426)*POWER($D426,INDEX('Flow Curves'!$C$5:$C$11,$W426)))</f>
        <v/>
      </c>
      <c r="Z426" s="2" t="str">
        <f aca="false">IF($W426="","",INDEX('Flow Curves'!$B$5:$B$11,$X426)*POWER($D426,INDEX('Flow Curves'!$C$5:$C$11,$X426)))</f>
        <v/>
      </c>
    </row>
    <row r="427" customFormat="false" ht="15" hidden="false" customHeight="false" outlineLevel="0" collapsed="false">
      <c r="A427" s="16" t="n">
        <v>420</v>
      </c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8" t="n">
        <f aca="false">IF($O427=0,0,$O427*60*Cost!$D$16*Cost!$D$17*IFERROR(INDEX(Cost!$I$5:$I$11,MATCH($B427,Cost!$H$5:$H$11,0)),0)/Cost!$D$5)</f>
        <v>0</v>
      </c>
      <c r="O427" s="19" t="n">
        <f aca="false">IF($W427="",0,IF(INDEX('Flow Curves'!$A$5:$A$11,$X427)=INDEX('Flow Curves'!$A$5:$A$11,$W427),$Y427,$Y427+($Z427-$Y427)*(MAX(10,MIN(150,$C427))-INDEX('Flow Curves'!$A$5:$A$11,$W427))/(INDEX('Flow Curves'!$A$5:$A$11,$X427)-INDEX('Flow Curves'!$A$5:$A$11,$W427))))</f>
        <v>0</v>
      </c>
      <c r="P427" s="20" t="n">
        <f aca="false">IF(OR($B427="Air",$B427="Open Blow"),$O427*60*Cost!$D$16*Cost!$D$17/Cost!$D$5*Cost!$D$13,0)</f>
        <v>0</v>
      </c>
      <c r="Q427" s="17"/>
      <c r="U427" s="16" t="str">
        <f aca="false">IF($D427="","",IF(ISNA(MATCH($B427,Cost!$H$5:$H$11,0)),"CHECK GAS TYPE",IF(OR($C427&lt;10,$C427&gt;150),"CHECK PRESSURE: outside 10-150 psi table",IF(OR($D427&lt;1,$D427&gt;120),"CHECK dB: outside 1-120 table",IF(ISNA(MATCH($C427,'Flow Curves'!$A$5:$A$11,0)),"INTERPOLATED between curves","Table curve")))))</f>
        <v/>
      </c>
      <c r="W427" s="2" t="str">
        <f aca="false">IF(OR($D427="",$C427=""),"",MATCH(MAX(10,MIN(150,$C427)),'Flow Curves'!$A$5:$A$11,1))</f>
        <v/>
      </c>
      <c r="X427" s="2" t="str">
        <f aca="false">IF($W427="","",MIN($W427+1,7))</f>
        <v/>
      </c>
      <c r="Y427" s="2" t="str">
        <f aca="false">IF($W427="","",INDEX('Flow Curves'!$B$5:$B$11,$W427)*POWER($D427,INDEX('Flow Curves'!$C$5:$C$11,$W427)))</f>
        <v/>
      </c>
      <c r="Z427" s="2" t="str">
        <f aca="false">IF($W427="","",INDEX('Flow Curves'!$B$5:$B$11,$X427)*POWER($D427,INDEX('Flow Curves'!$C$5:$C$11,$X427)))</f>
        <v/>
      </c>
    </row>
    <row r="428" customFormat="false" ht="15" hidden="false" customHeight="false" outlineLevel="0" collapsed="false">
      <c r="A428" s="16" t="n">
        <v>421</v>
      </c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8" t="n">
        <f aca="false">IF($O428=0,0,$O428*60*Cost!$D$16*Cost!$D$17*IFERROR(INDEX(Cost!$I$5:$I$11,MATCH($B428,Cost!$H$5:$H$11,0)),0)/Cost!$D$5)</f>
        <v>0</v>
      </c>
      <c r="O428" s="19" t="n">
        <f aca="false">IF($W428="",0,IF(INDEX('Flow Curves'!$A$5:$A$11,$X428)=INDEX('Flow Curves'!$A$5:$A$11,$W428),$Y428,$Y428+($Z428-$Y428)*(MAX(10,MIN(150,$C428))-INDEX('Flow Curves'!$A$5:$A$11,$W428))/(INDEX('Flow Curves'!$A$5:$A$11,$X428)-INDEX('Flow Curves'!$A$5:$A$11,$W428))))</f>
        <v>0</v>
      </c>
      <c r="P428" s="20" t="n">
        <f aca="false">IF(OR($B428="Air",$B428="Open Blow"),$O428*60*Cost!$D$16*Cost!$D$17/Cost!$D$5*Cost!$D$13,0)</f>
        <v>0</v>
      </c>
      <c r="Q428" s="17"/>
      <c r="U428" s="16" t="str">
        <f aca="false">IF($D428="","",IF(ISNA(MATCH($B428,Cost!$H$5:$H$11,0)),"CHECK GAS TYPE",IF(OR($C428&lt;10,$C428&gt;150),"CHECK PRESSURE: outside 10-150 psi table",IF(OR($D428&lt;1,$D428&gt;120),"CHECK dB: outside 1-120 table",IF(ISNA(MATCH($C428,'Flow Curves'!$A$5:$A$11,0)),"INTERPOLATED between curves","Table curve")))))</f>
        <v/>
      </c>
      <c r="W428" s="2" t="str">
        <f aca="false">IF(OR($D428="",$C428=""),"",MATCH(MAX(10,MIN(150,$C428)),'Flow Curves'!$A$5:$A$11,1))</f>
        <v/>
      </c>
      <c r="X428" s="2" t="str">
        <f aca="false">IF($W428="","",MIN($W428+1,7))</f>
        <v/>
      </c>
      <c r="Y428" s="2" t="str">
        <f aca="false">IF($W428="","",INDEX('Flow Curves'!$B$5:$B$11,$W428)*POWER($D428,INDEX('Flow Curves'!$C$5:$C$11,$W428)))</f>
        <v/>
      </c>
      <c r="Z428" s="2" t="str">
        <f aca="false">IF($W428="","",INDEX('Flow Curves'!$B$5:$B$11,$X428)*POWER($D428,INDEX('Flow Curves'!$C$5:$C$11,$X428)))</f>
        <v/>
      </c>
    </row>
    <row r="429" customFormat="false" ht="15" hidden="false" customHeight="false" outlineLevel="0" collapsed="false">
      <c r="A429" s="16" t="n">
        <v>422</v>
      </c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8" t="n">
        <f aca="false">IF($O429=0,0,$O429*60*Cost!$D$16*Cost!$D$17*IFERROR(INDEX(Cost!$I$5:$I$11,MATCH($B429,Cost!$H$5:$H$11,0)),0)/Cost!$D$5)</f>
        <v>0</v>
      </c>
      <c r="O429" s="19" t="n">
        <f aca="false">IF($W429="",0,IF(INDEX('Flow Curves'!$A$5:$A$11,$X429)=INDEX('Flow Curves'!$A$5:$A$11,$W429),$Y429,$Y429+($Z429-$Y429)*(MAX(10,MIN(150,$C429))-INDEX('Flow Curves'!$A$5:$A$11,$W429))/(INDEX('Flow Curves'!$A$5:$A$11,$X429)-INDEX('Flow Curves'!$A$5:$A$11,$W429))))</f>
        <v>0</v>
      </c>
      <c r="P429" s="20" t="n">
        <f aca="false">IF(OR($B429="Air",$B429="Open Blow"),$O429*60*Cost!$D$16*Cost!$D$17/Cost!$D$5*Cost!$D$13,0)</f>
        <v>0</v>
      </c>
      <c r="Q429" s="17"/>
      <c r="U429" s="16" t="str">
        <f aca="false">IF($D429="","",IF(ISNA(MATCH($B429,Cost!$H$5:$H$11,0)),"CHECK GAS TYPE",IF(OR($C429&lt;10,$C429&gt;150),"CHECK PRESSURE: outside 10-150 psi table",IF(OR($D429&lt;1,$D429&gt;120),"CHECK dB: outside 1-120 table",IF(ISNA(MATCH($C429,'Flow Curves'!$A$5:$A$11,0)),"INTERPOLATED between curves","Table curve")))))</f>
        <v/>
      </c>
      <c r="W429" s="2" t="str">
        <f aca="false">IF(OR($D429="",$C429=""),"",MATCH(MAX(10,MIN(150,$C429)),'Flow Curves'!$A$5:$A$11,1))</f>
        <v/>
      </c>
      <c r="X429" s="2" t="str">
        <f aca="false">IF($W429="","",MIN($W429+1,7))</f>
        <v/>
      </c>
      <c r="Y429" s="2" t="str">
        <f aca="false">IF($W429="","",INDEX('Flow Curves'!$B$5:$B$11,$W429)*POWER($D429,INDEX('Flow Curves'!$C$5:$C$11,$W429)))</f>
        <v/>
      </c>
      <c r="Z429" s="2" t="str">
        <f aca="false">IF($W429="","",INDEX('Flow Curves'!$B$5:$B$11,$X429)*POWER($D429,INDEX('Flow Curves'!$C$5:$C$11,$X429)))</f>
        <v/>
      </c>
    </row>
    <row r="430" customFormat="false" ht="15" hidden="false" customHeight="false" outlineLevel="0" collapsed="false">
      <c r="A430" s="16" t="n">
        <v>423</v>
      </c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8" t="n">
        <f aca="false">IF($O430=0,0,$O430*60*Cost!$D$16*Cost!$D$17*IFERROR(INDEX(Cost!$I$5:$I$11,MATCH($B430,Cost!$H$5:$H$11,0)),0)/Cost!$D$5)</f>
        <v>0</v>
      </c>
      <c r="O430" s="19" t="n">
        <f aca="false">IF($W430="",0,IF(INDEX('Flow Curves'!$A$5:$A$11,$X430)=INDEX('Flow Curves'!$A$5:$A$11,$W430),$Y430,$Y430+($Z430-$Y430)*(MAX(10,MIN(150,$C430))-INDEX('Flow Curves'!$A$5:$A$11,$W430))/(INDEX('Flow Curves'!$A$5:$A$11,$X430)-INDEX('Flow Curves'!$A$5:$A$11,$W430))))</f>
        <v>0</v>
      </c>
      <c r="P430" s="20" t="n">
        <f aca="false">IF(OR($B430="Air",$B430="Open Blow"),$O430*60*Cost!$D$16*Cost!$D$17/Cost!$D$5*Cost!$D$13,0)</f>
        <v>0</v>
      </c>
      <c r="Q430" s="17"/>
      <c r="U430" s="16" t="str">
        <f aca="false">IF($D430="","",IF(ISNA(MATCH($B430,Cost!$H$5:$H$11,0)),"CHECK GAS TYPE",IF(OR($C430&lt;10,$C430&gt;150),"CHECK PRESSURE: outside 10-150 psi table",IF(OR($D430&lt;1,$D430&gt;120),"CHECK dB: outside 1-120 table",IF(ISNA(MATCH($C430,'Flow Curves'!$A$5:$A$11,0)),"INTERPOLATED between curves","Table curve")))))</f>
        <v/>
      </c>
      <c r="W430" s="2" t="str">
        <f aca="false">IF(OR($D430="",$C430=""),"",MATCH(MAX(10,MIN(150,$C430)),'Flow Curves'!$A$5:$A$11,1))</f>
        <v/>
      </c>
      <c r="X430" s="2" t="str">
        <f aca="false">IF($W430="","",MIN($W430+1,7))</f>
        <v/>
      </c>
      <c r="Y430" s="2" t="str">
        <f aca="false">IF($W430="","",INDEX('Flow Curves'!$B$5:$B$11,$W430)*POWER($D430,INDEX('Flow Curves'!$C$5:$C$11,$W430)))</f>
        <v/>
      </c>
      <c r="Z430" s="2" t="str">
        <f aca="false">IF($W430="","",INDEX('Flow Curves'!$B$5:$B$11,$X430)*POWER($D430,INDEX('Flow Curves'!$C$5:$C$11,$X430)))</f>
        <v/>
      </c>
    </row>
    <row r="431" customFormat="false" ht="15" hidden="false" customHeight="false" outlineLevel="0" collapsed="false">
      <c r="A431" s="16" t="n">
        <v>424</v>
      </c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8" t="n">
        <f aca="false">IF($O431=0,0,$O431*60*Cost!$D$16*Cost!$D$17*IFERROR(INDEX(Cost!$I$5:$I$11,MATCH($B431,Cost!$H$5:$H$11,0)),0)/Cost!$D$5)</f>
        <v>0</v>
      </c>
      <c r="O431" s="19" t="n">
        <f aca="false">IF($W431="",0,IF(INDEX('Flow Curves'!$A$5:$A$11,$X431)=INDEX('Flow Curves'!$A$5:$A$11,$W431),$Y431,$Y431+($Z431-$Y431)*(MAX(10,MIN(150,$C431))-INDEX('Flow Curves'!$A$5:$A$11,$W431))/(INDEX('Flow Curves'!$A$5:$A$11,$X431)-INDEX('Flow Curves'!$A$5:$A$11,$W431))))</f>
        <v>0</v>
      </c>
      <c r="P431" s="20" t="n">
        <f aca="false">IF(OR($B431="Air",$B431="Open Blow"),$O431*60*Cost!$D$16*Cost!$D$17/Cost!$D$5*Cost!$D$13,0)</f>
        <v>0</v>
      </c>
      <c r="Q431" s="17"/>
      <c r="U431" s="16" t="str">
        <f aca="false">IF($D431="","",IF(ISNA(MATCH($B431,Cost!$H$5:$H$11,0)),"CHECK GAS TYPE",IF(OR($C431&lt;10,$C431&gt;150),"CHECK PRESSURE: outside 10-150 psi table",IF(OR($D431&lt;1,$D431&gt;120),"CHECK dB: outside 1-120 table",IF(ISNA(MATCH($C431,'Flow Curves'!$A$5:$A$11,0)),"INTERPOLATED between curves","Table curve")))))</f>
        <v/>
      </c>
      <c r="W431" s="2" t="str">
        <f aca="false">IF(OR($D431="",$C431=""),"",MATCH(MAX(10,MIN(150,$C431)),'Flow Curves'!$A$5:$A$11,1))</f>
        <v/>
      </c>
      <c r="X431" s="2" t="str">
        <f aca="false">IF($W431="","",MIN($W431+1,7))</f>
        <v/>
      </c>
      <c r="Y431" s="2" t="str">
        <f aca="false">IF($W431="","",INDEX('Flow Curves'!$B$5:$B$11,$W431)*POWER($D431,INDEX('Flow Curves'!$C$5:$C$11,$W431)))</f>
        <v/>
      </c>
      <c r="Z431" s="2" t="str">
        <f aca="false">IF($W431="","",INDEX('Flow Curves'!$B$5:$B$11,$X431)*POWER($D431,INDEX('Flow Curves'!$C$5:$C$11,$X431)))</f>
        <v/>
      </c>
    </row>
    <row r="432" customFormat="false" ht="15" hidden="false" customHeight="false" outlineLevel="0" collapsed="false">
      <c r="A432" s="16" t="n">
        <v>425</v>
      </c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8" t="n">
        <f aca="false">IF($O432=0,0,$O432*60*Cost!$D$16*Cost!$D$17*IFERROR(INDEX(Cost!$I$5:$I$11,MATCH($B432,Cost!$H$5:$H$11,0)),0)/Cost!$D$5)</f>
        <v>0</v>
      </c>
      <c r="O432" s="19" t="n">
        <f aca="false">IF($W432="",0,IF(INDEX('Flow Curves'!$A$5:$A$11,$X432)=INDEX('Flow Curves'!$A$5:$A$11,$W432),$Y432,$Y432+($Z432-$Y432)*(MAX(10,MIN(150,$C432))-INDEX('Flow Curves'!$A$5:$A$11,$W432))/(INDEX('Flow Curves'!$A$5:$A$11,$X432)-INDEX('Flow Curves'!$A$5:$A$11,$W432))))</f>
        <v>0</v>
      </c>
      <c r="P432" s="20" t="n">
        <f aca="false">IF(OR($B432="Air",$B432="Open Blow"),$O432*60*Cost!$D$16*Cost!$D$17/Cost!$D$5*Cost!$D$13,0)</f>
        <v>0</v>
      </c>
      <c r="Q432" s="17"/>
      <c r="U432" s="16" t="str">
        <f aca="false">IF($D432="","",IF(ISNA(MATCH($B432,Cost!$H$5:$H$11,0)),"CHECK GAS TYPE",IF(OR($C432&lt;10,$C432&gt;150),"CHECK PRESSURE: outside 10-150 psi table",IF(OR($D432&lt;1,$D432&gt;120),"CHECK dB: outside 1-120 table",IF(ISNA(MATCH($C432,'Flow Curves'!$A$5:$A$11,0)),"INTERPOLATED between curves","Table curve")))))</f>
        <v/>
      </c>
      <c r="W432" s="2" t="str">
        <f aca="false">IF(OR($D432="",$C432=""),"",MATCH(MAX(10,MIN(150,$C432)),'Flow Curves'!$A$5:$A$11,1))</f>
        <v/>
      </c>
      <c r="X432" s="2" t="str">
        <f aca="false">IF($W432="","",MIN($W432+1,7))</f>
        <v/>
      </c>
      <c r="Y432" s="2" t="str">
        <f aca="false">IF($W432="","",INDEX('Flow Curves'!$B$5:$B$11,$W432)*POWER($D432,INDEX('Flow Curves'!$C$5:$C$11,$W432)))</f>
        <v/>
      </c>
      <c r="Z432" s="2" t="str">
        <f aca="false">IF($W432="","",INDEX('Flow Curves'!$B$5:$B$11,$X432)*POWER($D432,INDEX('Flow Curves'!$C$5:$C$11,$X432)))</f>
        <v/>
      </c>
    </row>
    <row r="433" customFormat="false" ht="15" hidden="false" customHeight="false" outlineLevel="0" collapsed="false">
      <c r="A433" s="16" t="n">
        <v>426</v>
      </c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8" t="n">
        <f aca="false">IF($O433=0,0,$O433*60*Cost!$D$16*Cost!$D$17*IFERROR(INDEX(Cost!$I$5:$I$11,MATCH($B433,Cost!$H$5:$H$11,0)),0)/Cost!$D$5)</f>
        <v>0</v>
      </c>
      <c r="O433" s="19" t="n">
        <f aca="false">IF($W433="",0,IF(INDEX('Flow Curves'!$A$5:$A$11,$X433)=INDEX('Flow Curves'!$A$5:$A$11,$W433),$Y433,$Y433+($Z433-$Y433)*(MAX(10,MIN(150,$C433))-INDEX('Flow Curves'!$A$5:$A$11,$W433))/(INDEX('Flow Curves'!$A$5:$A$11,$X433)-INDEX('Flow Curves'!$A$5:$A$11,$W433))))</f>
        <v>0</v>
      </c>
      <c r="P433" s="20" t="n">
        <f aca="false">IF(OR($B433="Air",$B433="Open Blow"),$O433*60*Cost!$D$16*Cost!$D$17/Cost!$D$5*Cost!$D$13,0)</f>
        <v>0</v>
      </c>
      <c r="Q433" s="17"/>
      <c r="U433" s="16" t="str">
        <f aca="false">IF($D433="","",IF(ISNA(MATCH($B433,Cost!$H$5:$H$11,0)),"CHECK GAS TYPE",IF(OR($C433&lt;10,$C433&gt;150),"CHECK PRESSURE: outside 10-150 psi table",IF(OR($D433&lt;1,$D433&gt;120),"CHECK dB: outside 1-120 table",IF(ISNA(MATCH($C433,'Flow Curves'!$A$5:$A$11,0)),"INTERPOLATED between curves","Table curve")))))</f>
        <v/>
      </c>
      <c r="W433" s="2" t="str">
        <f aca="false">IF(OR($D433="",$C433=""),"",MATCH(MAX(10,MIN(150,$C433)),'Flow Curves'!$A$5:$A$11,1))</f>
        <v/>
      </c>
      <c r="X433" s="2" t="str">
        <f aca="false">IF($W433="","",MIN($W433+1,7))</f>
        <v/>
      </c>
      <c r="Y433" s="2" t="str">
        <f aca="false">IF($W433="","",INDEX('Flow Curves'!$B$5:$B$11,$W433)*POWER($D433,INDEX('Flow Curves'!$C$5:$C$11,$W433)))</f>
        <v/>
      </c>
      <c r="Z433" s="2" t="str">
        <f aca="false">IF($W433="","",INDEX('Flow Curves'!$B$5:$B$11,$X433)*POWER($D433,INDEX('Flow Curves'!$C$5:$C$11,$X433)))</f>
        <v/>
      </c>
    </row>
    <row r="434" customFormat="false" ht="15" hidden="false" customHeight="false" outlineLevel="0" collapsed="false">
      <c r="A434" s="16" t="n">
        <v>427</v>
      </c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8" t="n">
        <f aca="false">IF($O434=0,0,$O434*60*Cost!$D$16*Cost!$D$17*IFERROR(INDEX(Cost!$I$5:$I$11,MATCH($B434,Cost!$H$5:$H$11,0)),0)/Cost!$D$5)</f>
        <v>0</v>
      </c>
      <c r="O434" s="19" t="n">
        <f aca="false">IF($W434="",0,IF(INDEX('Flow Curves'!$A$5:$A$11,$X434)=INDEX('Flow Curves'!$A$5:$A$11,$W434),$Y434,$Y434+($Z434-$Y434)*(MAX(10,MIN(150,$C434))-INDEX('Flow Curves'!$A$5:$A$11,$W434))/(INDEX('Flow Curves'!$A$5:$A$11,$X434)-INDEX('Flow Curves'!$A$5:$A$11,$W434))))</f>
        <v>0</v>
      </c>
      <c r="P434" s="20" t="n">
        <f aca="false">IF(OR($B434="Air",$B434="Open Blow"),$O434*60*Cost!$D$16*Cost!$D$17/Cost!$D$5*Cost!$D$13,0)</f>
        <v>0</v>
      </c>
      <c r="Q434" s="17"/>
      <c r="U434" s="16" t="str">
        <f aca="false">IF($D434="","",IF(ISNA(MATCH($B434,Cost!$H$5:$H$11,0)),"CHECK GAS TYPE",IF(OR($C434&lt;10,$C434&gt;150),"CHECK PRESSURE: outside 10-150 psi table",IF(OR($D434&lt;1,$D434&gt;120),"CHECK dB: outside 1-120 table",IF(ISNA(MATCH($C434,'Flow Curves'!$A$5:$A$11,0)),"INTERPOLATED between curves","Table curve")))))</f>
        <v/>
      </c>
      <c r="W434" s="2" t="str">
        <f aca="false">IF(OR($D434="",$C434=""),"",MATCH(MAX(10,MIN(150,$C434)),'Flow Curves'!$A$5:$A$11,1))</f>
        <v/>
      </c>
      <c r="X434" s="2" t="str">
        <f aca="false">IF($W434="","",MIN($W434+1,7))</f>
        <v/>
      </c>
      <c r="Y434" s="2" t="str">
        <f aca="false">IF($W434="","",INDEX('Flow Curves'!$B$5:$B$11,$W434)*POWER($D434,INDEX('Flow Curves'!$C$5:$C$11,$W434)))</f>
        <v/>
      </c>
      <c r="Z434" s="2" t="str">
        <f aca="false">IF($W434="","",INDEX('Flow Curves'!$B$5:$B$11,$X434)*POWER($D434,INDEX('Flow Curves'!$C$5:$C$11,$X434)))</f>
        <v/>
      </c>
    </row>
    <row r="435" customFormat="false" ht="15" hidden="false" customHeight="false" outlineLevel="0" collapsed="false">
      <c r="A435" s="16" t="n">
        <v>428</v>
      </c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8" t="n">
        <f aca="false">IF($O435=0,0,$O435*60*Cost!$D$16*Cost!$D$17*IFERROR(INDEX(Cost!$I$5:$I$11,MATCH($B435,Cost!$H$5:$H$11,0)),0)/Cost!$D$5)</f>
        <v>0</v>
      </c>
      <c r="O435" s="19" t="n">
        <f aca="false">IF($W435="",0,IF(INDEX('Flow Curves'!$A$5:$A$11,$X435)=INDEX('Flow Curves'!$A$5:$A$11,$W435),$Y435,$Y435+($Z435-$Y435)*(MAX(10,MIN(150,$C435))-INDEX('Flow Curves'!$A$5:$A$11,$W435))/(INDEX('Flow Curves'!$A$5:$A$11,$X435)-INDEX('Flow Curves'!$A$5:$A$11,$W435))))</f>
        <v>0</v>
      </c>
      <c r="P435" s="20" t="n">
        <f aca="false">IF(OR($B435="Air",$B435="Open Blow"),$O435*60*Cost!$D$16*Cost!$D$17/Cost!$D$5*Cost!$D$13,0)</f>
        <v>0</v>
      </c>
      <c r="Q435" s="17"/>
      <c r="U435" s="16" t="str">
        <f aca="false">IF($D435="","",IF(ISNA(MATCH($B435,Cost!$H$5:$H$11,0)),"CHECK GAS TYPE",IF(OR($C435&lt;10,$C435&gt;150),"CHECK PRESSURE: outside 10-150 psi table",IF(OR($D435&lt;1,$D435&gt;120),"CHECK dB: outside 1-120 table",IF(ISNA(MATCH($C435,'Flow Curves'!$A$5:$A$11,0)),"INTERPOLATED between curves","Table curve")))))</f>
        <v/>
      </c>
      <c r="W435" s="2" t="str">
        <f aca="false">IF(OR($D435="",$C435=""),"",MATCH(MAX(10,MIN(150,$C435)),'Flow Curves'!$A$5:$A$11,1))</f>
        <v/>
      </c>
      <c r="X435" s="2" t="str">
        <f aca="false">IF($W435="","",MIN($W435+1,7))</f>
        <v/>
      </c>
      <c r="Y435" s="2" t="str">
        <f aca="false">IF($W435="","",INDEX('Flow Curves'!$B$5:$B$11,$W435)*POWER($D435,INDEX('Flow Curves'!$C$5:$C$11,$W435)))</f>
        <v/>
      </c>
      <c r="Z435" s="2" t="str">
        <f aca="false">IF($W435="","",INDEX('Flow Curves'!$B$5:$B$11,$X435)*POWER($D435,INDEX('Flow Curves'!$C$5:$C$11,$X435)))</f>
        <v/>
      </c>
    </row>
    <row r="436" customFormat="false" ht="15" hidden="false" customHeight="false" outlineLevel="0" collapsed="false">
      <c r="A436" s="16" t="n">
        <v>429</v>
      </c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8" t="n">
        <f aca="false">IF($O436=0,0,$O436*60*Cost!$D$16*Cost!$D$17*IFERROR(INDEX(Cost!$I$5:$I$11,MATCH($B436,Cost!$H$5:$H$11,0)),0)/Cost!$D$5)</f>
        <v>0</v>
      </c>
      <c r="O436" s="19" t="n">
        <f aca="false">IF($W436="",0,IF(INDEX('Flow Curves'!$A$5:$A$11,$X436)=INDEX('Flow Curves'!$A$5:$A$11,$W436),$Y436,$Y436+($Z436-$Y436)*(MAX(10,MIN(150,$C436))-INDEX('Flow Curves'!$A$5:$A$11,$W436))/(INDEX('Flow Curves'!$A$5:$A$11,$X436)-INDEX('Flow Curves'!$A$5:$A$11,$W436))))</f>
        <v>0</v>
      </c>
      <c r="P436" s="20" t="n">
        <f aca="false">IF(OR($B436="Air",$B436="Open Blow"),$O436*60*Cost!$D$16*Cost!$D$17/Cost!$D$5*Cost!$D$13,0)</f>
        <v>0</v>
      </c>
      <c r="Q436" s="17"/>
      <c r="U436" s="16" t="str">
        <f aca="false">IF($D436="","",IF(ISNA(MATCH($B436,Cost!$H$5:$H$11,0)),"CHECK GAS TYPE",IF(OR($C436&lt;10,$C436&gt;150),"CHECK PRESSURE: outside 10-150 psi table",IF(OR($D436&lt;1,$D436&gt;120),"CHECK dB: outside 1-120 table",IF(ISNA(MATCH($C436,'Flow Curves'!$A$5:$A$11,0)),"INTERPOLATED between curves","Table curve")))))</f>
        <v/>
      </c>
      <c r="W436" s="2" t="str">
        <f aca="false">IF(OR($D436="",$C436=""),"",MATCH(MAX(10,MIN(150,$C436)),'Flow Curves'!$A$5:$A$11,1))</f>
        <v/>
      </c>
      <c r="X436" s="2" t="str">
        <f aca="false">IF($W436="","",MIN($W436+1,7))</f>
        <v/>
      </c>
      <c r="Y436" s="2" t="str">
        <f aca="false">IF($W436="","",INDEX('Flow Curves'!$B$5:$B$11,$W436)*POWER($D436,INDEX('Flow Curves'!$C$5:$C$11,$W436)))</f>
        <v/>
      </c>
      <c r="Z436" s="2" t="str">
        <f aca="false">IF($W436="","",INDEX('Flow Curves'!$B$5:$B$11,$X436)*POWER($D436,INDEX('Flow Curves'!$C$5:$C$11,$X436)))</f>
        <v/>
      </c>
    </row>
    <row r="437" customFormat="false" ht="15" hidden="false" customHeight="false" outlineLevel="0" collapsed="false">
      <c r="A437" s="16" t="n">
        <v>430</v>
      </c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8" t="n">
        <f aca="false">IF($O437=0,0,$O437*60*Cost!$D$16*Cost!$D$17*IFERROR(INDEX(Cost!$I$5:$I$11,MATCH($B437,Cost!$H$5:$H$11,0)),0)/Cost!$D$5)</f>
        <v>0</v>
      </c>
      <c r="O437" s="19" t="n">
        <f aca="false">IF($W437="",0,IF(INDEX('Flow Curves'!$A$5:$A$11,$X437)=INDEX('Flow Curves'!$A$5:$A$11,$W437),$Y437,$Y437+($Z437-$Y437)*(MAX(10,MIN(150,$C437))-INDEX('Flow Curves'!$A$5:$A$11,$W437))/(INDEX('Flow Curves'!$A$5:$A$11,$X437)-INDEX('Flow Curves'!$A$5:$A$11,$W437))))</f>
        <v>0</v>
      </c>
      <c r="P437" s="20" t="n">
        <f aca="false">IF(OR($B437="Air",$B437="Open Blow"),$O437*60*Cost!$D$16*Cost!$D$17/Cost!$D$5*Cost!$D$13,0)</f>
        <v>0</v>
      </c>
      <c r="Q437" s="17"/>
      <c r="U437" s="16" t="str">
        <f aca="false">IF($D437="","",IF(ISNA(MATCH($B437,Cost!$H$5:$H$11,0)),"CHECK GAS TYPE",IF(OR($C437&lt;10,$C437&gt;150),"CHECK PRESSURE: outside 10-150 psi table",IF(OR($D437&lt;1,$D437&gt;120),"CHECK dB: outside 1-120 table",IF(ISNA(MATCH($C437,'Flow Curves'!$A$5:$A$11,0)),"INTERPOLATED between curves","Table curve")))))</f>
        <v/>
      </c>
      <c r="W437" s="2" t="str">
        <f aca="false">IF(OR($D437="",$C437=""),"",MATCH(MAX(10,MIN(150,$C437)),'Flow Curves'!$A$5:$A$11,1))</f>
        <v/>
      </c>
      <c r="X437" s="2" t="str">
        <f aca="false">IF($W437="","",MIN($W437+1,7))</f>
        <v/>
      </c>
      <c r="Y437" s="2" t="str">
        <f aca="false">IF($W437="","",INDEX('Flow Curves'!$B$5:$B$11,$W437)*POWER($D437,INDEX('Flow Curves'!$C$5:$C$11,$W437)))</f>
        <v/>
      </c>
      <c r="Z437" s="2" t="str">
        <f aca="false">IF($W437="","",INDEX('Flow Curves'!$B$5:$B$11,$X437)*POWER($D437,INDEX('Flow Curves'!$C$5:$C$11,$X437)))</f>
        <v/>
      </c>
    </row>
    <row r="438" customFormat="false" ht="15" hidden="false" customHeight="false" outlineLevel="0" collapsed="false">
      <c r="A438" s="16" t="n">
        <v>431</v>
      </c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8" t="n">
        <f aca="false">IF($O438=0,0,$O438*60*Cost!$D$16*Cost!$D$17*IFERROR(INDEX(Cost!$I$5:$I$11,MATCH($B438,Cost!$H$5:$H$11,0)),0)/Cost!$D$5)</f>
        <v>0</v>
      </c>
      <c r="O438" s="19" t="n">
        <f aca="false">IF($W438="",0,IF(INDEX('Flow Curves'!$A$5:$A$11,$X438)=INDEX('Flow Curves'!$A$5:$A$11,$W438),$Y438,$Y438+($Z438-$Y438)*(MAX(10,MIN(150,$C438))-INDEX('Flow Curves'!$A$5:$A$11,$W438))/(INDEX('Flow Curves'!$A$5:$A$11,$X438)-INDEX('Flow Curves'!$A$5:$A$11,$W438))))</f>
        <v>0</v>
      </c>
      <c r="P438" s="20" t="n">
        <f aca="false">IF(OR($B438="Air",$B438="Open Blow"),$O438*60*Cost!$D$16*Cost!$D$17/Cost!$D$5*Cost!$D$13,0)</f>
        <v>0</v>
      </c>
      <c r="Q438" s="17"/>
      <c r="U438" s="16" t="str">
        <f aca="false">IF($D438="","",IF(ISNA(MATCH($B438,Cost!$H$5:$H$11,0)),"CHECK GAS TYPE",IF(OR($C438&lt;10,$C438&gt;150),"CHECK PRESSURE: outside 10-150 psi table",IF(OR($D438&lt;1,$D438&gt;120),"CHECK dB: outside 1-120 table",IF(ISNA(MATCH($C438,'Flow Curves'!$A$5:$A$11,0)),"INTERPOLATED between curves","Table curve")))))</f>
        <v/>
      </c>
      <c r="W438" s="2" t="str">
        <f aca="false">IF(OR($D438="",$C438=""),"",MATCH(MAX(10,MIN(150,$C438)),'Flow Curves'!$A$5:$A$11,1))</f>
        <v/>
      </c>
      <c r="X438" s="2" t="str">
        <f aca="false">IF($W438="","",MIN($W438+1,7))</f>
        <v/>
      </c>
      <c r="Y438" s="2" t="str">
        <f aca="false">IF($W438="","",INDEX('Flow Curves'!$B$5:$B$11,$W438)*POWER($D438,INDEX('Flow Curves'!$C$5:$C$11,$W438)))</f>
        <v/>
      </c>
      <c r="Z438" s="2" t="str">
        <f aca="false">IF($W438="","",INDEX('Flow Curves'!$B$5:$B$11,$X438)*POWER($D438,INDEX('Flow Curves'!$C$5:$C$11,$X438)))</f>
        <v/>
      </c>
    </row>
    <row r="439" customFormat="false" ht="15" hidden="false" customHeight="false" outlineLevel="0" collapsed="false">
      <c r="A439" s="16" t="n">
        <v>432</v>
      </c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8" t="n">
        <f aca="false">IF($O439=0,0,$O439*60*Cost!$D$16*Cost!$D$17*IFERROR(INDEX(Cost!$I$5:$I$11,MATCH($B439,Cost!$H$5:$H$11,0)),0)/Cost!$D$5)</f>
        <v>0</v>
      </c>
      <c r="O439" s="19" t="n">
        <f aca="false">IF($W439="",0,IF(INDEX('Flow Curves'!$A$5:$A$11,$X439)=INDEX('Flow Curves'!$A$5:$A$11,$W439),$Y439,$Y439+($Z439-$Y439)*(MAX(10,MIN(150,$C439))-INDEX('Flow Curves'!$A$5:$A$11,$W439))/(INDEX('Flow Curves'!$A$5:$A$11,$X439)-INDEX('Flow Curves'!$A$5:$A$11,$W439))))</f>
        <v>0</v>
      </c>
      <c r="P439" s="20" t="n">
        <f aca="false">IF(OR($B439="Air",$B439="Open Blow"),$O439*60*Cost!$D$16*Cost!$D$17/Cost!$D$5*Cost!$D$13,0)</f>
        <v>0</v>
      </c>
      <c r="Q439" s="17"/>
      <c r="U439" s="16" t="str">
        <f aca="false">IF($D439="","",IF(ISNA(MATCH($B439,Cost!$H$5:$H$11,0)),"CHECK GAS TYPE",IF(OR($C439&lt;10,$C439&gt;150),"CHECK PRESSURE: outside 10-150 psi table",IF(OR($D439&lt;1,$D439&gt;120),"CHECK dB: outside 1-120 table",IF(ISNA(MATCH($C439,'Flow Curves'!$A$5:$A$11,0)),"INTERPOLATED between curves","Table curve")))))</f>
        <v/>
      </c>
      <c r="W439" s="2" t="str">
        <f aca="false">IF(OR($D439="",$C439=""),"",MATCH(MAX(10,MIN(150,$C439)),'Flow Curves'!$A$5:$A$11,1))</f>
        <v/>
      </c>
      <c r="X439" s="2" t="str">
        <f aca="false">IF($W439="","",MIN($W439+1,7))</f>
        <v/>
      </c>
      <c r="Y439" s="2" t="str">
        <f aca="false">IF($W439="","",INDEX('Flow Curves'!$B$5:$B$11,$W439)*POWER($D439,INDEX('Flow Curves'!$C$5:$C$11,$W439)))</f>
        <v/>
      </c>
      <c r="Z439" s="2" t="str">
        <f aca="false">IF($W439="","",INDEX('Flow Curves'!$B$5:$B$11,$X439)*POWER($D439,INDEX('Flow Curves'!$C$5:$C$11,$X439)))</f>
        <v/>
      </c>
    </row>
    <row r="440" customFormat="false" ht="15" hidden="false" customHeight="false" outlineLevel="0" collapsed="false">
      <c r="A440" s="16" t="n">
        <v>433</v>
      </c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8" t="n">
        <f aca="false">IF($O440=0,0,$O440*60*Cost!$D$16*Cost!$D$17*IFERROR(INDEX(Cost!$I$5:$I$11,MATCH($B440,Cost!$H$5:$H$11,0)),0)/Cost!$D$5)</f>
        <v>0</v>
      </c>
      <c r="O440" s="19" t="n">
        <f aca="false">IF($W440="",0,IF(INDEX('Flow Curves'!$A$5:$A$11,$X440)=INDEX('Flow Curves'!$A$5:$A$11,$W440),$Y440,$Y440+($Z440-$Y440)*(MAX(10,MIN(150,$C440))-INDEX('Flow Curves'!$A$5:$A$11,$W440))/(INDEX('Flow Curves'!$A$5:$A$11,$X440)-INDEX('Flow Curves'!$A$5:$A$11,$W440))))</f>
        <v>0</v>
      </c>
      <c r="P440" s="20" t="n">
        <f aca="false">IF(OR($B440="Air",$B440="Open Blow"),$O440*60*Cost!$D$16*Cost!$D$17/Cost!$D$5*Cost!$D$13,0)</f>
        <v>0</v>
      </c>
      <c r="Q440" s="17"/>
      <c r="U440" s="16" t="str">
        <f aca="false">IF($D440="","",IF(ISNA(MATCH($B440,Cost!$H$5:$H$11,0)),"CHECK GAS TYPE",IF(OR($C440&lt;10,$C440&gt;150),"CHECK PRESSURE: outside 10-150 psi table",IF(OR($D440&lt;1,$D440&gt;120),"CHECK dB: outside 1-120 table",IF(ISNA(MATCH($C440,'Flow Curves'!$A$5:$A$11,0)),"INTERPOLATED between curves","Table curve")))))</f>
        <v/>
      </c>
      <c r="W440" s="2" t="str">
        <f aca="false">IF(OR($D440="",$C440=""),"",MATCH(MAX(10,MIN(150,$C440)),'Flow Curves'!$A$5:$A$11,1))</f>
        <v/>
      </c>
      <c r="X440" s="2" t="str">
        <f aca="false">IF($W440="","",MIN($W440+1,7))</f>
        <v/>
      </c>
      <c r="Y440" s="2" t="str">
        <f aca="false">IF($W440="","",INDEX('Flow Curves'!$B$5:$B$11,$W440)*POWER($D440,INDEX('Flow Curves'!$C$5:$C$11,$W440)))</f>
        <v/>
      </c>
      <c r="Z440" s="2" t="str">
        <f aca="false">IF($W440="","",INDEX('Flow Curves'!$B$5:$B$11,$X440)*POWER($D440,INDEX('Flow Curves'!$C$5:$C$11,$X440)))</f>
        <v/>
      </c>
    </row>
    <row r="441" customFormat="false" ht="15" hidden="false" customHeight="false" outlineLevel="0" collapsed="false">
      <c r="A441" s="16" t="n">
        <v>434</v>
      </c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8" t="n">
        <f aca="false">IF($O441=0,0,$O441*60*Cost!$D$16*Cost!$D$17*IFERROR(INDEX(Cost!$I$5:$I$11,MATCH($B441,Cost!$H$5:$H$11,0)),0)/Cost!$D$5)</f>
        <v>0</v>
      </c>
      <c r="O441" s="19" t="n">
        <f aca="false">IF($W441="",0,IF(INDEX('Flow Curves'!$A$5:$A$11,$X441)=INDEX('Flow Curves'!$A$5:$A$11,$W441),$Y441,$Y441+($Z441-$Y441)*(MAX(10,MIN(150,$C441))-INDEX('Flow Curves'!$A$5:$A$11,$W441))/(INDEX('Flow Curves'!$A$5:$A$11,$X441)-INDEX('Flow Curves'!$A$5:$A$11,$W441))))</f>
        <v>0</v>
      </c>
      <c r="P441" s="20" t="n">
        <f aca="false">IF(OR($B441="Air",$B441="Open Blow"),$O441*60*Cost!$D$16*Cost!$D$17/Cost!$D$5*Cost!$D$13,0)</f>
        <v>0</v>
      </c>
      <c r="Q441" s="17"/>
      <c r="U441" s="16" t="str">
        <f aca="false">IF($D441="","",IF(ISNA(MATCH($B441,Cost!$H$5:$H$11,0)),"CHECK GAS TYPE",IF(OR($C441&lt;10,$C441&gt;150),"CHECK PRESSURE: outside 10-150 psi table",IF(OR($D441&lt;1,$D441&gt;120),"CHECK dB: outside 1-120 table",IF(ISNA(MATCH($C441,'Flow Curves'!$A$5:$A$11,0)),"INTERPOLATED between curves","Table curve")))))</f>
        <v/>
      </c>
      <c r="W441" s="2" t="str">
        <f aca="false">IF(OR($D441="",$C441=""),"",MATCH(MAX(10,MIN(150,$C441)),'Flow Curves'!$A$5:$A$11,1))</f>
        <v/>
      </c>
      <c r="X441" s="2" t="str">
        <f aca="false">IF($W441="","",MIN($W441+1,7))</f>
        <v/>
      </c>
      <c r="Y441" s="2" t="str">
        <f aca="false">IF($W441="","",INDEX('Flow Curves'!$B$5:$B$11,$W441)*POWER($D441,INDEX('Flow Curves'!$C$5:$C$11,$W441)))</f>
        <v/>
      </c>
      <c r="Z441" s="2" t="str">
        <f aca="false">IF($W441="","",INDEX('Flow Curves'!$B$5:$B$11,$X441)*POWER($D441,INDEX('Flow Curves'!$C$5:$C$11,$X441)))</f>
        <v/>
      </c>
    </row>
    <row r="442" customFormat="false" ht="15" hidden="false" customHeight="false" outlineLevel="0" collapsed="false">
      <c r="A442" s="16" t="n">
        <v>435</v>
      </c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8" t="n">
        <f aca="false">IF($O442=0,0,$O442*60*Cost!$D$16*Cost!$D$17*IFERROR(INDEX(Cost!$I$5:$I$11,MATCH($B442,Cost!$H$5:$H$11,0)),0)/Cost!$D$5)</f>
        <v>0</v>
      </c>
      <c r="O442" s="19" t="n">
        <f aca="false">IF($W442="",0,IF(INDEX('Flow Curves'!$A$5:$A$11,$X442)=INDEX('Flow Curves'!$A$5:$A$11,$W442),$Y442,$Y442+($Z442-$Y442)*(MAX(10,MIN(150,$C442))-INDEX('Flow Curves'!$A$5:$A$11,$W442))/(INDEX('Flow Curves'!$A$5:$A$11,$X442)-INDEX('Flow Curves'!$A$5:$A$11,$W442))))</f>
        <v>0</v>
      </c>
      <c r="P442" s="20" t="n">
        <f aca="false">IF(OR($B442="Air",$B442="Open Blow"),$O442*60*Cost!$D$16*Cost!$D$17/Cost!$D$5*Cost!$D$13,0)</f>
        <v>0</v>
      </c>
      <c r="Q442" s="17"/>
      <c r="U442" s="16" t="str">
        <f aca="false">IF($D442="","",IF(ISNA(MATCH($B442,Cost!$H$5:$H$11,0)),"CHECK GAS TYPE",IF(OR($C442&lt;10,$C442&gt;150),"CHECK PRESSURE: outside 10-150 psi table",IF(OR($D442&lt;1,$D442&gt;120),"CHECK dB: outside 1-120 table",IF(ISNA(MATCH($C442,'Flow Curves'!$A$5:$A$11,0)),"INTERPOLATED between curves","Table curve")))))</f>
        <v/>
      </c>
      <c r="W442" s="2" t="str">
        <f aca="false">IF(OR($D442="",$C442=""),"",MATCH(MAX(10,MIN(150,$C442)),'Flow Curves'!$A$5:$A$11,1))</f>
        <v/>
      </c>
      <c r="X442" s="2" t="str">
        <f aca="false">IF($W442="","",MIN($W442+1,7))</f>
        <v/>
      </c>
      <c r="Y442" s="2" t="str">
        <f aca="false">IF($W442="","",INDEX('Flow Curves'!$B$5:$B$11,$W442)*POWER($D442,INDEX('Flow Curves'!$C$5:$C$11,$W442)))</f>
        <v/>
      </c>
      <c r="Z442" s="2" t="str">
        <f aca="false">IF($W442="","",INDEX('Flow Curves'!$B$5:$B$11,$X442)*POWER($D442,INDEX('Flow Curves'!$C$5:$C$11,$X442)))</f>
        <v/>
      </c>
    </row>
    <row r="443" customFormat="false" ht="15" hidden="false" customHeight="false" outlineLevel="0" collapsed="false">
      <c r="A443" s="16" t="n">
        <v>436</v>
      </c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8" t="n">
        <f aca="false">IF($O443=0,0,$O443*60*Cost!$D$16*Cost!$D$17*IFERROR(INDEX(Cost!$I$5:$I$11,MATCH($B443,Cost!$H$5:$H$11,0)),0)/Cost!$D$5)</f>
        <v>0</v>
      </c>
      <c r="O443" s="19" t="n">
        <f aca="false">IF($W443="",0,IF(INDEX('Flow Curves'!$A$5:$A$11,$X443)=INDEX('Flow Curves'!$A$5:$A$11,$W443),$Y443,$Y443+($Z443-$Y443)*(MAX(10,MIN(150,$C443))-INDEX('Flow Curves'!$A$5:$A$11,$W443))/(INDEX('Flow Curves'!$A$5:$A$11,$X443)-INDEX('Flow Curves'!$A$5:$A$11,$W443))))</f>
        <v>0</v>
      </c>
      <c r="P443" s="20" t="n">
        <f aca="false">IF(OR($B443="Air",$B443="Open Blow"),$O443*60*Cost!$D$16*Cost!$D$17/Cost!$D$5*Cost!$D$13,0)</f>
        <v>0</v>
      </c>
      <c r="Q443" s="17"/>
      <c r="U443" s="16" t="str">
        <f aca="false">IF($D443="","",IF(ISNA(MATCH($B443,Cost!$H$5:$H$11,0)),"CHECK GAS TYPE",IF(OR($C443&lt;10,$C443&gt;150),"CHECK PRESSURE: outside 10-150 psi table",IF(OR($D443&lt;1,$D443&gt;120),"CHECK dB: outside 1-120 table",IF(ISNA(MATCH($C443,'Flow Curves'!$A$5:$A$11,0)),"INTERPOLATED between curves","Table curve")))))</f>
        <v/>
      </c>
      <c r="W443" s="2" t="str">
        <f aca="false">IF(OR($D443="",$C443=""),"",MATCH(MAX(10,MIN(150,$C443)),'Flow Curves'!$A$5:$A$11,1))</f>
        <v/>
      </c>
      <c r="X443" s="2" t="str">
        <f aca="false">IF($W443="","",MIN($W443+1,7))</f>
        <v/>
      </c>
      <c r="Y443" s="2" t="str">
        <f aca="false">IF($W443="","",INDEX('Flow Curves'!$B$5:$B$11,$W443)*POWER($D443,INDEX('Flow Curves'!$C$5:$C$11,$W443)))</f>
        <v/>
      </c>
      <c r="Z443" s="2" t="str">
        <f aca="false">IF($W443="","",INDEX('Flow Curves'!$B$5:$B$11,$X443)*POWER($D443,INDEX('Flow Curves'!$C$5:$C$11,$X443)))</f>
        <v/>
      </c>
    </row>
    <row r="444" customFormat="false" ht="15" hidden="false" customHeight="false" outlineLevel="0" collapsed="false">
      <c r="A444" s="16" t="n">
        <v>437</v>
      </c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8" t="n">
        <f aca="false">IF($O444=0,0,$O444*60*Cost!$D$16*Cost!$D$17*IFERROR(INDEX(Cost!$I$5:$I$11,MATCH($B444,Cost!$H$5:$H$11,0)),0)/Cost!$D$5)</f>
        <v>0</v>
      </c>
      <c r="O444" s="19" t="n">
        <f aca="false">IF($W444="",0,IF(INDEX('Flow Curves'!$A$5:$A$11,$X444)=INDEX('Flow Curves'!$A$5:$A$11,$W444),$Y444,$Y444+($Z444-$Y444)*(MAX(10,MIN(150,$C444))-INDEX('Flow Curves'!$A$5:$A$11,$W444))/(INDEX('Flow Curves'!$A$5:$A$11,$X444)-INDEX('Flow Curves'!$A$5:$A$11,$W444))))</f>
        <v>0</v>
      </c>
      <c r="P444" s="20" t="n">
        <f aca="false">IF(OR($B444="Air",$B444="Open Blow"),$O444*60*Cost!$D$16*Cost!$D$17/Cost!$D$5*Cost!$D$13,0)</f>
        <v>0</v>
      </c>
      <c r="Q444" s="17"/>
      <c r="U444" s="16" t="str">
        <f aca="false">IF($D444="","",IF(ISNA(MATCH($B444,Cost!$H$5:$H$11,0)),"CHECK GAS TYPE",IF(OR($C444&lt;10,$C444&gt;150),"CHECK PRESSURE: outside 10-150 psi table",IF(OR($D444&lt;1,$D444&gt;120),"CHECK dB: outside 1-120 table",IF(ISNA(MATCH($C444,'Flow Curves'!$A$5:$A$11,0)),"INTERPOLATED between curves","Table curve")))))</f>
        <v/>
      </c>
      <c r="W444" s="2" t="str">
        <f aca="false">IF(OR($D444="",$C444=""),"",MATCH(MAX(10,MIN(150,$C444)),'Flow Curves'!$A$5:$A$11,1))</f>
        <v/>
      </c>
      <c r="X444" s="2" t="str">
        <f aca="false">IF($W444="","",MIN($W444+1,7))</f>
        <v/>
      </c>
      <c r="Y444" s="2" t="str">
        <f aca="false">IF($W444="","",INDEX('Flow Curves'!$B$5:$B$11,$W444)*POWER($D444,INDEX('Flow Curves'!$C$5:$C$11,$W444)))</f>
        <v/>
      </c>
      <c r="Z444" s="2" t="str">
        <f aca="false">IF($W444="","",INDEX('Flow Curves'!$B$5:$B$11,$X444)*POWER($D444,INDEX('Flow Curves'!$C$5:$C$11,$X444)))</f>
        <v/>
      </c>
    </row>
    <row r="445" customFormat="false" ht="15" hidden="false" customHeight="false" outlineLevel="0" collapsed="false">
      <c r="A445" s="16" t="n">
        <v>438</v>
      </c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8" t="n">
        <f aca="false">IF($O445=0,0,$O445*60*Cost!$D$16*Cost!$D$17*IFERROR(INDEX(Cost!$I$5:$I$11,MATCH($B445,Cost!$H$5:$H$11,0)),0)/Cost!$D$5)</f>
        <v>0</v>
      </c>
      <c r="O445" s="19" t="n">
        <f aca="false">IF($W445="",0,IF(INDEX('Flow Curves'!$A$5:$A$11,$X445)=INDEX('Flow Curves'!$A$5:$A$11,$W445),$Y445,$Y445+($Z445-$Y445)*(MAX(10,MIN(150,$C445))-INDEX('Flow Curves'!$A$5:$A$11,$W445))/(INDEX('Flow Curves'!$A$5:$A$11,$X445)-INDEX('Flow Curves'!$A$5:$A$11,$W445))))</f>
        <v>0</v>
      </c>
      <c r="P445" s="20" t="n">
        <f aca="false">IF(OR($B445="Air",$B445="Open Blow"),$O445*60*Cost!$D$16*Cost!$D$17/Cost!$D$5*Cost!$D$13,0)</f>
        <v>0</v>
      </c>
      <c r="Q445" s="17"/>
      <c r="U445" s="16" t="str">
        <f aca="false">IF($D445="","",IF(ISNA(MATCH($B445,Cost!$H$5:$H$11,0)),"CHECK GAS TYPE",IF(OR($C445&lt;10,$C445&gt;150),"CHECK PRESSURE: outside 10-150 psi table",IF(OR($D445&lt;1,$D445&gt;120),"CHECK dB: outside 1-120 table",IF(ISNA(MATCH($C445,'Flow Curves'!$A$5:$A$11,0)),"INTERPOLATED between curves","Table curve")))))</f>
        <v/>
      </c>
      <c r="W445" s="2" t="str">
        <f aca="false">IF(OR($D445="",$C445=""),"",MATCH(MAX(10,MIN(150,$C445)),'Flow Curves'!$A$5:$A$11,1))</f>
        <v/>
      </c>
      <c r="X445" s="2" t="str">
        <f aca="false">IF($W445="","",MIN($W445+1,7))</f>
        <v/>
      </c>
      <c r="Y445" s="2" t="str">
        <f aca="false">IF($W445="","",INDEX('Flow Curves'!$B$5:$B$11,$W445)*POWER($D445,INDEX('Flow Curves'!$C$5:$C$11,$W445)))</f>
        <v/>
      </c>
      <c r="Z445" s="2" t="str">
        <f aca="false">IF($W445="","",INDEX('Flow Curves'!$B$5:$B$11,$X445)*POWER($D445,INDEX('Flow Curves'!$C$5:$C$11,$X445)))</f>
        <v/>
      </c>
    </row>
    <row r="446" customFormat="false" ht="15" hidden="false" customHeight="false" outlineLevel="0" collapsed="false">
      <c r="A446" s="16" t="n">
        <v>439</v>
      </c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8" t="n">
        <f aca="false">IF($O446=0,0,$O446*60*Cost!$D$16*Cost!$D$17*IFERROR(INDEX(Cost!$I$5:$I$11,MATCH($B446,Cost!$H$5:$H$11,0)),0)/Cost!$D$5)</f>
        <v>0</v>
      </c>
      <c r="O446" s="19" t="n">
        <f aca="false">IF($W446="",0,IF(INDEX('Flow Curves'!$A$5:$A$11,$X446)=INDEX('Flow Curves'!$A$5:$A$11,$W446),$Y446,$Y446+($Z446-$Y446)*(MAX(10,MIN(150,$C446))-INDEX('Flow Curves'!$A$5:$A$11,$W446))/(INDEX('Flow Curves'!$A$5:$A$11,$X446)-INDEX('Flow Curves'!$A$5:$A$11,$W446))))</f>
        <v>0</v>
      </c>
      <c r="P446" s="20" t="n">
        <f aca="false">IF(OR($B446="Air",$B446="Open Blow"),$O446*60*Cost!$D$16*Cost!$D$17/Cost!$D$5*Cost!$D$13,0)</f>
        <v>0</v>
      </c>
      <c r="Q446" s="17"/>
      <c r="U446" s="16" t="str">
        <f aca="false">IF($D446="","",IF(ISNA(MATCH($B446,Cost!$H$5:$H$11,0)),"CHECK GAS TYPE",IF(OR($C446&lt;10,$C446&gt;150),"CHECK PRESSURE: outside 10-150 psi table",IF(OR($D446&lt;1,$D446&gt;120),"CHECK dB: outside 1-120 table",IF(ISNA(MATCH($C446,'Flow Curves'!$A$5:$A$11,0)),"INTERPOLATED between curves","Table curve")))))</f>
        <v/>
      </c>
      <c r="W446" s="2" t="str">
        <f aca="false">IF(OR($D446="",$C446=""),"",MATCH(MAX(10,MIN(150,$C446)),'Flow Curves'!$A$5:$A$11,1))</f>
        <v/>
      </c>
      <c r="X446" s="2" t="str">
        <f aca="false">IF($W446="","",MIN($W446+1,7))</f>
        <v/>
      </c>
      <c r="Y446" s="2" t="str">
        <f aca="false">IF($W446="","",INDEX('Flow Curves'!$B$5:$B$11,$W446)*POWER($D446,INDEX('Flow Curves'!$C$5:$C$11,$W446)))</f>
        <v/>
      </c>
      <c r="Z446" s="2" t="str">
        <f aca="false">IF($W446="","",INDEX('Flow Curves'!$B$5:$B$11,$X446)*POWER($D446,INDEX('Flow Curves'!$C$5:$C$11,$X446)))</f>
        <v/>
      </c>
    </row>
    <row r="447" customFormat="false" ht="15" hidden="false" customHeight="false" outlineLevel="0" collapsed="false">
      <c r="A447" s="16" t="n">
        <v>440</v>
      </c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8" t="n">
        <f aca="false">IF($O447=0,0,$O447*60*Cost!$D$16*Cost!$D$17*IFERROR(INDEX(Cost!$I$5:$I$11,MATCH($B447,Cost!$H$5:$H$11,0)),0)/Cost!$D$5)</f>
        <v>0</v>
      </c>
      <c r="O447" s="19" t="n">
        <f aca="false">IF($W447="",0,IF(INDEX('Flow Curves'!$A$5:$A$11,$X447)=INDEX('Flow Curves'!$A$5:$A$11,$W447),$Y447,$Y447+($Z447-$Y447)*(MAX(10,MIN(150,$C447))-INDEX('Flow Curves'!$A$5:$A$11,$W447))/(INDEX('Flow Curves'!$A$5:$A$11,$X447)-INDEX('Flow Curves'!$A$5:$A$11,$W447))))</f>
        <v>0</v>
      </c>
      <c r="P447" s="20" t="n">
        <f aca="false">IF(OR($B447="Air",$B447="Open Blow"),$O447*60*Cost!$D$16*Cost!$D$17/Cost!$D$5*Cost!$D$13,0)</f>
        <v>0</v>
      </c>
      <c r="Q447" s="17"/>
      <c r="U447" s="16" t="str">
        <f aca="false">IF($D447="","",IF(ISNA(MATCH($B447,Cost!$H$5:$H$11,0)),"CHECK GAS TYPE",IF(OR($C447&lt;10,$C447&gt;150),"CHECK PRESSURE: outside 10-150 psi table",IF(OR($D447&lt;1,$D447&gt;120),"CHECK dB: outside 1-120 table",IF(ISNA(MATCH($C447,'Flow Curves'!$A$5:$A$11,0)),"INTERPOLATED between curves","Table curve")))))</f>
        <v/>
      </c>
      <c r="W447" s="2" t="str">
        <f aca="false">IF(OR($D447="",$C447=""),"",MATCH(MAX(10,MIN(150,$C447)),'Flow Curves'!$A$5:$A$11,1))</f>
        <v/>
      </c>
      <c r="X447" s="2" t="str">
        <f aca="false">IF($W447="","",MIN($W447+1,7))</f>
        <v/>
      </c>
      <c r="Y447" s="2" t="str">
        <f aca="false">IF($W447="","",INDEX('Flow Curves'!$B$5:$B$11,$W447)*POWER($D447,INDEX('Flow Curves'!$C$5:$C$11,$W447)))</f>
        <v/>
      </c>
      <c r="Z447" s="2" t="str">
        <f aca="false">IF($W447="","",INDEX('Flow Curves'!$B$5:$B$11,$X447)*POWER($D447,INDEX('Flow Curves'!$C$5:$C$11,$X447)))</f>
        <v/>
      </c>
    </row>
    <row r="448" customFormat="false" ht="15" hidden="false" customHeight="false" outlineLevel="0" collapsed="false">
      <c r="A448" s="16" t="n">
        <v>441</v>
      </c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8" t="n">
        <f aca="false">IF($O448=0,0,$O448*60*Cost!$D$16*Cost!$D$17*IFERROR(INDEX(Cost!$I$5:$I$11,MATCH($B448,Cost!$H$5:$H$11,0)),0)/Cost!$D$5)</f>
        <v>0</v>
      </c>
      <c r="O448" s="19" t="n">
        <f aca="false">IF($W448="",0,IF(INDEX('Flow Curves'!$A$5:$A$11,$X448)=INDEX('Flow Curves'!$A$5:$A$11,$W448),$Y448,$Y448+($Z448-$Y448)*(MAX(10,MIN(150,$C448))-INDEX('Flow Curves'!$A$5:$A$11,$W448))/(INDEX('Flow Curves'!$A$5:$A$11,$X448)-INDEX('Flow Curves'!$A$5:$A$11,$W448))))</f>
        <v>0</v>
      </c>
      <c r="P448" s="20" t="n">
        <f aca="false">IF(OR($B448="Air",$B448="Open Blow"),$O448*60*Cost!$D$16*Cost!$D$17/Cost!$D$5*Cost!$D$13,0)</f>
        <v>0</v>
      </c>
      <c r="Q448" s="17"/>
      <c r="U448" s="16" t="str">
        <f aca="false">IF($D448="","",IF(ISNA(MATCH($B448,Cost!$H$5:$H$11,0)),"CHECK GAS TYPE",IF(OR($C448&lt;10,$C448&gt;150),"CHECK PRESSURE: outside 10-150 psi table",IF(OR($D448&lt;1,$D448&gt;120),"CHECK dB: outside 1-120 table",IF(ISNA(MATCH($C448,'Flow Curves'!$A$5:$A$11,0)),"INTERPOLATED between curves","Table curve")))))</f>
        <v/>
      </c>
      <c r="W448" s="2" t="str">
        <f aca="false">IF(OR($D448="",$C448=""),"",MATCH(MAX(10,MIN(150,$C448)),'Flow Curves'!$A$5:$A$11,1))</f>
        <v/>
      </c>
      <c r="X448" s="2" t="str">
        <f aca="false">IF($W448="","",MIN($W448+1,7))</f>
        <v/>
      </c>
      <c r="Y448" s="2" t="str">
        <f aca="false">IF($W448="","",INDEX('Flow Curves'!$B$5:$B$11,$W448)*POWER($D448,INDEX('Flow Curves'!$C$5:$C$11,$W448)))</f>
        <v/>
      </c>
      <c r="Z448" s="2" t="str">
        <f aca="false">IF($W448="","",INDEX('Flow Curves'!$B$5:$B$11,$X448)*POWER($D448,INDEX('Flow Curves'!$C$5:$C$11,$X448)))</f>
        <v/>
      </c>
    </row>
    <row r="449" customFormat="false" ht="15" hidden="false" customHeight="false" outlineLevel="0" collapsed="false">
      <c r="A449" s="16" t="n">
        <v>442</v>
      </c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8" t="n">
        <f aca="false">IF($O449=0,0,$O449*60*Cost!$D$16*Cost!$D$17*IFERROR(INDEX(Cost!$I$5:$I$11,MATCH($B449,Cost!$H$5:$H$11,0)),0)/Cost!$D$5)</f>
        <v>0</v>
      </c>
      <c r="O449" s="19" t="n">
        <f aca="false">IF($W449="",0,IF(INDEX('Flow Curves'!$A$5:$A$11,$X449)=INDEX('Flow Curves'!$A$5:$A$11,$W449),$Y449,$Y449+($Z449-$Y449)*(MAX(10,MIN(150,$C449))-INDEX('Flow Curves'!$A$5:$A$11,$W449))/(INDEX('Flow Curves'!$A$5:$A$11,$X449)-INDEX('Flow Curves'!$A$5:$A$11,$W449))))</f>
        <v>0</v>
      </c>
      <c r="P449" s="20" t="n">
        <f aca="false">IF(OR($B449="Air",$B449="Open Blow"),$O449*60*Cost!$D$16*Cost!$D$17/Cost!$D$5*Cost!$D$13,0)</f>
        <v>0</v>
      </c>
      <c r="Q449" s="17"/>
      <c r="U449" s="16" t="str">
        <f aca="false">IF($D449="","",IF(ISNA(MATCH($B449,Cost!$H$5:$H$11,0)),"CHECK GAS TYPE",IF(OR($C449&lt;10,$C449&gt;150),"CHECK PRESSURE: outside 10-150 psi table",IF(OR($D449&lt;1,$D449&gt;120),"CHECK dB: outside 1-120 table",IF(ISNA(MATCH($C449,'Flow Curves'!$A$5:$A$11,0)),"INTERPOLATED between curves","Table curve")))))</f>
        <v/>
      </c>
      <c r="W449" s="2" t="str">
        <f aca="false">IF(OR($D449="",$C449=""),"",MATCH(MAX(10,MIN(150,$C449)),'Flow Curves'!$A$5:$A$11,1))</f>
        <v/>
      </c>
      <c r="X449" s="2" t="str">
        <f aca="false">IF($W449="","",MIN($W449+1,7))</f>
        <v/>
      </c>
      <c r="Y449" s="2" t="str">
        <f aca="false">IF($W449="","",INDEX('Flow Curves'!$B$5:$B$11,$W449)*POWER($D449,INDEX('Flow Curves'!$C$5:$C$11,$W449)))</f>
        <v/>
      </c>
      <c r="Z449" s="2" t="str">
        <f aca="false">IF($W449="","",INDEX('Flow Curves'!$B$5:$B$11,$X449)*POWER($D449,INDEX('Flow Curves'!$C$5:$C$11,$X449)))</f>
        <v/>
      </c>
    </row>
    <row r="450" customFormat="false" ht="15" hidden="false" customHeight="false" outlineLevel="0" collapsed="false">
      <c r="A450" s="16" t="n">
        <v>443</v>
      </c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8" t="n">
        <f aca="false">IF($O450=0,0,$O450*60*Cost!$D$16*Cost!$D$17*IFERROR(INDEX(Cost!$I$5:$I$11,MATCH($B450,Cost!$H$5:$H$11,0)),0)/Cost!$D$5)</f>
        <v>0</v>
      </c>
      <c r="O450" s="19" t="n">
        <f aca="false">IF($W450="",0,IF(INDEX('Flow Curves'!$A$5:$A$11,$X450)=INDEX('Flow Curves'!$A$5:$A$11,$W450),$Y450,$Y450+($Z450-$Y450)*(MAX(10,MIN(150,$C450))-INDEX('Flow Curves'!$A$5:$A$11,$W450))/(INDEX('Flow Curves'!$A$5:$A$11,$X450)-INDEX('Flow Curves'!$A$5:$A$11,$W450))))</f>
        <v>0</v>
      </c>
      <c r="P450" s="20" t="n">
        <f aca="false">IF(OR($B450="Air",$B450="Open Blow"),$O450*60*Cost!$D$16*Cost!$D$17/Cost!$D$5*Cost!$D$13,0)</f>
        <v>0</v>
      </c>
      <c r="Q450" s="17"/>
      <c r="U450" s="16" t="str">
        <f aca="false">IF($D450="","",IF(ISNA(MATCH($B450,Cost!$H$5:$H$11,0)),"CHECK GAS TYPE",IF(OR($C450&lt;10,$C450&gt;150),"CHECK PRESSURE: outside 10-150 psi table",IF(OR($D450&lt;1,$D450&gt;120),"CHECK dB: outside 1-120 table",IF(ISNA(MATCH($C450,'Flow Curves'!$A$5:$A$11,0)),"INTERPOLATED between curves","Table curve")))))</f>
        <v/>
      </c>
      <c r="W450" s="2" t="str">
        <f aca="false">IF(OR($D450="",$C450=""),"",MATCH(MAX(10,MIN(150,$C450)),'Flow Curves'!$A$5:$A$11,1))</f>
        <v/>
      </c>
      <c r="X450" s="2" t="str">
        <f aca="false">IF($W450="","",MIN($W450+1,7))</f>
        <v/>
      </c>
      <c r="Y450" s="2" t="str">
        <f aca="false">IF($W450="","",INDEX('Flow Curves'!$B$5:$B$11,$W450)*POWER($D450,INDEX('Flow Curves'!$C$5:$C$11,$W450)))</f>
        <v/>
      </c>
      <c r="Z450" s="2" t="str">
        <f aca="false">IF($W450="","",INDEX('Flow Curves'!$B$5:$B$11,$X450)*POWER($D450,INDEX('Flow Curves'!$C$5:$C$11,$X450)))</f>
        <v/>
      </c>
    </row>
    <row r="451" customFormat="false" ht="15" hidden="false" customHeight="false" outlineLevel="0" collapsed="false">
      <c r="A451" s="16" t="n">
        <v>444</v>
      </c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8" t="n">
        <f aca="false">IF($O451=0,0,$O451*60*Cost!$D$16*Cost!$D$17*IFERROR(INDEX(Cost!$I$5:$I$11,MATCH($B451,Cost!$H$5:$H$11,0)),0)/Cost!$D$5)</f>
        <v>0</v>
      </c>
      <c r="O451" s="19" t="n">
        <f aca="false">IF($W451="",0,IF(INDEX('Flow Curves'!$A$5:$A$11,$X451)=INDEX('Flow Curves'!$A$5:$A$11,$W451),$Y451,$Y451+($Z451-$Y451)*(MAX(10,MIN(150,$C451))-INDEX('Flow Curves'!$A$5:$A$11,$W451))/(INDEX('Flow Curves'!$A$5:$A$11,$X451)-INDEX('Flow Curves'!$A$5:$A$11,$W451))))</f>
        <v>0</v>
      </c>
      <c r="P451" s="20" t="n">
        <f aca="false">IF(OR($B451="Air",$B451="Open Blow"),$O451*60*Cost!$D$16*Cost!$D$17/Cost!$D$5*Cost!$D$13,0)</f>
        <v>0</v>
      </c>
      <c r="Q451" s="17"/>
      <c r="U451" s="16" t="str">
        <f aca="false">IF($D451="","",IF(ISNA(MATCH($B451,Cost!$H$5:$H$11,0)),"CHECK GAS TYPE",IF(OR($C451&lt;10,$C451&gt;150),"CHECK PRESSURE: outside 10-150 psi table",IF(OR($D451&lt;1,$D451&gt;120),"CHECK dB: outside 1-120 table",IF(ISNA(MATCH($C451,'Flow Curves'!$A$5:$A$11,0)),"INTERPOLATED between curves","Table curve")))))</f>
        <v/>
      </c>
      <c r="W451" s="2" t="str">
        <f aca="false">IF(OR($D451="",$C451=""),"",MATCH(MAX(10,MIN(150,$C451)),'Flow Curves'!$A$5:$A$11,1))</f>
        <v/>
      </c>
      <c r="X451" s="2" t="str">
        <f aca="false">IF($W451="","",MIN($W451+1,7))</f>
        <v/>
      </c>
      <c r="Y451" s="2" t="str">
        <f aca="false">IF($W451="","",INDEX('Flow Curves'!$B$5:$B$11,$W451)*POWER($D451,INDEX('Flow Curves'!$C$5:$C$11,$W451)))</f>
        <v/>
      </c>
      <c r="Z451" s="2" t="str">
        <f aca="false">IF($W451="","",INDEX('Flow Curves'!$B$5:$B$11,$X451)*POWER($D451,INDEX('Flow Curves'!$C$5:$C$11,$X451)))</f>
        <v/>
      </c>
    </row>
    <row r="452" customFormat="false" ht="15" hidden="false" customHeight="false" outlineLevel="0" collapsed="false">
      <c r="A452" s="16" t="n">
        <v>445</v>
      </c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8" t="n">
        <f aca="false">IF($O452=0,0,$O452*60*Cost!$D$16*Cost!$D$17*IFERROR(INDEX(Cost!$I$5:$I$11,MATCH($B452,Cost!$H$5:$H$11,0)),0)/Cost!$D$5)</f>
        <v>0</v>
      </c>
      <c r="O452" s="19" t="n">
        <f aca="false">IF($W452="",0,IF(INDEX('Flow Curves'!$A$5:$A$11,$X452)=INDEX('Flow Curves'!$A$5:$A$11,$W452),$Y452,$Y452+($Z452-$Y452)*(MAX(10,MIN(150,$C452))-INDEX('Flow Curves'!$A$5:$A$11,$W452))/(INDEX('Flow Curves'!$A$5:$A$11,$X452)-INDEX('Flow Curves'!$A$5:$A$11,$W452))))</f>
        <v>0</v>
      </c>
      <c r="P452" s="20" t="n">
        <f aca="false">IF(OR($B452="Air",$B452="Open Blow"),$O452*60*Cost!$D$16*Cost!$D$17/Cost!$D$5*Cost!$D$13,0)</f>
        <v>0</v>
      </c>
      <c r="Q452" s="17"/>
      <c r="U452" s="16" t="str">
        <f aca="false">IF($D452="","",IF(ISNA(MATCH($B452,Cost!$H$5:$H$11,0)),"CHECK GAS TYPE",IF(OR($C452&lt;10,$C452&gt;150),"CHECK PRESSURE: outside 10-150 psi table",IF(OR($D452&lt;1,$D452&gt;120),"CHECK dB: outside 1-120 table",IF(ISNA(MATCH($C452,'Flow Curves'!$A$5:$A$11,0)),"INTERPOLATED between curves","Table curve")))))</f>
        <v/>
      </c>
      <c r="W452" s="2" t="str">
        <f aca="false">IF(OR($D452="",$C452=""),"",MATCH(MAX(10,MIN(150,$C452)),'Flow Curves'!$A$5:$A$11,1))</f>
        <v/>
      </c>
      <c r="X452" s="2" t="str">
        <f aca="false">IF($W452="","",MIN($W452+1,7))</f>
        <v/>
      </c>
      <c r="Y452" s="2" t="str">
        <f aca="false">IF($W452="","",INDEX('Flow Curves'!$B$5:$B$11,$W452)*POWER($D452,INDEX('Flow Curves'!$C$5:$C$11,$W452)))</f>
        <v/>
      </c>
      <c r="Z452" s="2" t="str">
        <f aca="false">IF($W452="","",INDEX('Flow Curves'!$B$5:$B$11,$X452)*POWER($D452,INDEX('Flow Curves'!$C$5:$C$11,$X452)))</f>
        <v/>
      </c>
    </row>
    <row r="453" customFormat="false" ht="15" hidden="false" customHeight="false" outlineLevel="0" collapsed="false">
      <c r="A453" s="16" t="n">
        <v>446</v>
      </c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8" t="n">
        <f aca="false">IF($O453=0,0,$O453*60*Cost!$D$16*Cost!$D$17*IFERROR(INDEX(Cost!$I$5:$I$11,MATCH($B453,Cost!$H$5:$H$11,0)),0)/Cost!$D$5)</f>
        <v>0</v>
      </c>
      <c r="O453" s="19" t="n">
        <f aca="false">IF($W453="",0,IF(INDEX('Flow Curves'!$A$5:$A$11,$X453)=INDEX('Flow Curves'!$A$5:$A$11,$W453),$Y453,$Y453+($Z453-$Y453)*(MAX(10,MIN(150,$C453))-INDEX('Flow Curves'!$A$5:$A$11,$W453))/(INDEX('Flow Curves'!$A$5:$A$11,$X453)-INDEX('Flow Curves'!$A$5:$A$11,$W453))))</f>
        <v>0</v>
      </c>
      <c r="P453" s="20" t="n">
        <f aca="false">IF(OR($B453="Air",$B453="Open Blow"),$O453*60*Cost!$D$16*Cost!$D$17/Cost!$D$5*Cost!$D$13,0)</f>
        <v>0</v>
      </c>
      <c r="Q453" s="17"/>
      <c r="U453" s="16" t="str">
        <f aca="false">IF($D453="","",IF(ISNA(MATCH($B453,Cost!$H$5:$H$11,0)),"CHECK GAS TYPE",IF(OR($C453&lt;10,$C453&gt;150),"CHECK PRESSURE: outside 10-150 psi table",IF(OR($D453&lt;1,$D453&gt;120),"CHECK dB: outside 1-120 table",IF(ISNA(MATCH($C453,'Flow Curves'!$A$5:$A$11,0)),"INTERPOLATED between curves","Table curve")))))</f>
        <v/>
      </c>
      <c r="W453" s="2" t="str">
        <f aca="false">IF(OR($D453="",$C453=""),"",MATCH(MAX(10,MIN(150,$C453)),'Flow Curves'!$A$5:$A$11,1))</f>
        <v/>
      </c>
      <c r="X453" s="2" t="str">
        <f aca="false">IF($W453="","",MIN($W453+1,7))</f>
        <v/>
      </c>
      <c r="Y453" s="2" t="str">
        <f aca="false">IF($W453="","",INDEX('Flow Curves'!$B$5:$B$11,$W453)*POWER($D453,INDEX('Flow Curves'!$C$5:$C$11,$W453)))</f>
        <v/>
      </c>
      <c r="Z453" s="2" t="str">
        <f aca="false">IF($W453="","",INDEX('Flow Curves'!$B$5:$B$11,$X453)*POWER($D453,INDEX('Flow Curves'!$C$5:$C$11,$X453)))</f>
        <v/>
      </c>
    </row>
    <row r="454" customFormat="false" ht="15" hidden="false" customHeight="false" outlineLevel="0" collapsed="false">
      <c r="A454" s="16" t="n">
        <v>447</v>
      </c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8" t="n">
        <f aca="false">IF($O454=0,0,$O454*60*Cost!$D$16*Cost!$D$17*IFERROR(INDEX(Cost!$I$5:$I$11,MATCH($B454,Cost!$H$5:$H$11,0)),0)/Cost!$D$5)</f>
        <v>0</v>
      </c>
      <c r="O454" s="19" t="n">
        <f aca="false">IF($W454="",0,IF(INDEX('Flow Curves'!$A$5:$A$11,$X454)=INDEX('Flow Curves'!$A$5:$A$11,$W454),$Y454,$Y454+($Z454-$Y454)*(MAX(10,MIN(150,$C454))-INDEX('Flow Curves'!$A$5:$A$11,$W454))/(INDEX('Flow Curves'!$A$5:$A$11,$X454)-INDEX('Flow Curves'!$A$5:$A$11,$W454))))</f>
        <v>0</v>
      </c>
      <c r="P454" s="20" t="n">
        <f aca="false">IF(OR($B454="Air",$B454="Open Blow"),$O454*60*Cost!$D$16*Cost!$D$17/Cost!$D$5*Cost!$D$13,0)</f>
        <v>0</v>
      </c>
      <c r="Q454" s="17"/>
      <c r="U454" s="16" t="str">
        <f aca="false">IF($D454="","",IF(ISNA(MATCH($B454,Cost!$H$5:$H$11,0)),"CHECK GAS TYPE",IF(OR($C454&lt;10,$C454&gt;150),"CHECK PRESSURE: outside 10-150 psi table",IF(OR($D454&lt;1,$D454&gt;120),"CHECK dB: outside 1-120 table",IF(ISNA(MATCH($C454,'Flow Curves'!$A$5:$A$11,0)),"INTERPOLATED between curves","Table curve")))))</f>
        <v/>
      </c>
      <c r="W454" s="2" t="str">
        <f aca="false">IF(OR($D454="",$C454=""),"",MATCH(MAX(10,MIN(150,$C454)),'Flow Curves'!$A$5:$A$11,1))</f>
        <v/>
      </c>
      <c r="X454" s="2" t="str">
        <f aca="false">IF($W454="","",MIN($W454+1,7))</f>
        <v/>
      </c>
      <c r="Y454" s="2" t="str">
        <f aca="false">IF($W454="","",INDEX('Flow Curves'!$B$5:$B$11,$W454)*POWER($D454,INDEX('Flow Curves'!$C$5:$C$11,$W454)))</f>
        <v/>
      </c>
      <c r="Z454" s="2" t="str">
        <f aca="false">IF($W454="","",INDEX('Flow Curves'!$B$5:$B$11,$X454)*POWER($D454,INDEX('Flow Curves'!$C$5:$C$11,$X454)))</f>
        <v/>
      </c>
    </row>
    <row r="455" customFormat="false" ht="15" hidden="false" customHeight="false" outlineLevel="0" collapsed="false">
      <c r="A455" s="16" t="n">
        <v>448</v>
      </c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8" t="n">
        <f aca="false">IF($O455=0,0,$O455*60*Cost!$D$16*Cost!$D$17*IFERROR(INDEX(Cost!$I$5:$I$11,MATCH($B455,Cost!$H$5:$H$11,0)),0)/Cost!$D$5)</f>
        <v>0</v>
      </c>
      <c r="O455" s="19" t="n">
        <f aca="false">IF($W455="",0,IF(INDEX('Flow Curves'!$A$5:$A$11,$X455)=INDEX('Flow Curves'!$A$5:$A$11,$W455),$Y455,$Y455+($Z455-$Y455)*(MAX(10,MIN(150,$C455))-INDEX('Flow Curves'!$A$5:$A$11,$W455))/(INDEX('Flow Curves'!$A$5:$A$11,$X455)-INDEX('Flow Curves'!$A$5:$A$11,$W455))))</f>
        <v>0</v>
      </c>
      <c r="P455" s="20" t="n">
        <f aca="false">IF(OR($B455="Air",$B455="Open Blow"),$O455*60*Cost!$D$16*Cost!$D$17/Cost!$D$5*Cost!$D$13,0)</f>
        <v>0</v>
      </c>
      <c r="Q455" s="17"/>
      <c r="U455" s="16" t="str">
        <f aca="false">IF($D455="","",IF(ISNA(MATCH($B455,Cost!$H$5:$H$11,0)),"CHECK GAS TYPE",IF(OR($C455&lt;10,$C455&gt;150),"CHECK PRESSURE: outside 10-150 psi table",IF(OR($D455&lt;1,$D455&gt;120),"CHECK dB: outside 1-120 table",IF(ISNA(MATCH($C455,'Flow Curves'!$A$5:$A$11,0)),"INTERPOLATED between curves","Table curve")))))</f>
        <v/>
      </c>
      <c r="W455" s="2" t="str">
        <f aca="false">IF(OR($D455="",$C455=""),"",MATCH(MAX(10,MIN(150,$C455)),'Flow Curves'!$A$5:$A$11,1))</f>
        <v/>
      </c>
      <c r="X455" s="2" t="str">
        <f aca="false">IF($W455="","",MIN($W455+1,7))</f>
        <v/>
      </c>
      <c r="Y455" s="2" t="str">
        <f aca="false">IF($W455="","",INDEX('Flow Curves'!$B$5:$B$11,$W455)*POWER($D455,INDEX('Flow Curves'!$C$5:$C$11,$W455)))</f>
        <v/>
      </c>
      <c r="Z455" s="2" t="str">
        <f aca="false">IF($W455="","",INDEX('Flow Curves'!$B$5:$B$11,$X455)*POWER($D455,INDEX('Flow Curves'!$C$5:$C$11,$X455)))</f>
        <v/>
      </c>
    </row>
    <row r="456" customFormat="false" ht="15" hidden="false" customHeight="false" outlineLevel="0" collapsed="false">
      <c r="A456" s="16" t="n">
        <v>449</v>
      </c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8" t="n">
        <f aca="false">IF($O456=0,0,$O456*60*Cost!$D$16*Cost!$D$17*IFERROR(INDEX(Cost!$I$5:$I$11,MATCH($B456,Cost!$H$5:$H$11,0)),0)/Cost!$D$5)</f>
        <v>0</v>
      </c>
      <c r="O456" s="19" t="n">
        <f aca="false">IF($W456="",0,IF(INDEX('Flow Curves'!$A$5:$A$11,$X456)=INDEX('Flow Curves'!$A$5:$A$11,$W456),$Y456,$Y456+($Z456-$Y456)*(MAX(10,MIN(150,$C456))-INDEX('Flow Curves'!$A$5:$A$11,$W456))/(INDEX('Flow Curves'!$A$5:$A$11,$X456)-INDEX('Flow Curves'!$A$5:$A$11,$W456))))</f>
        <v>0</v>
      </c>
      <c r="P456" s="20" t="n">
        <f aca="false">IF(OR($B456="Air",$B456="Open Blow"),$O456*60*Cost!$D$16*Cost!$D$17/Cost!$D$5*Cost!$D$13,0)</f>
        <v>0</v>
      </c>
      <c r="Q456" s="17"/>
      <c r="U456" s="16" t="str">
        <f aca="false">IF($D456="","",IF(ISNA(MATCH($B456,Cost!$H$5:$H$11,0)),"CHECK GAS TYPE",IF(OR($C456&lt;10,$C456&gt;150),"CHECK PRESSURE: outside 10-150 psi table",IF(OR($D456&lt;1,$D456&gt;120),"CHECK dB: outside 1-120 table",IF(ISNA(MATCH($C456,'Flow Curves'!$A$5:$A$11,0)),"INTERPOLATED between curves","Table curve")))))</f>
        <v/>
      </c>
      <c r="W456" s="2" t="str">
        <f aca="false">IF(OR($D456="",$C456=""),"",MATCH(MAX(10,MIN(150,$C456)),'Flow Curves'!$A$5:$A$11,1))</f>
        <v/>
      </c>
      <c r="X456" s="2" t="str">
        <f aca="false">IF($W456="","",MIN($W456+1,7))</f>
        <v/>
      </c>
      <c r="Y456" s="2" t="str">
        <f aca="false">IF($W456="","",INDEX('Flow Curves'!$B$5:$B$11,$W456)*POWER($D456,INDEX('Flow Curves'!$C$5:$C$11,$W456)))</f>
        <v/>
      </c>
      <c r="Z456" s="2" t="str">
        <f aca="false">IF($W456="","",INDEX('Flow Curves'!$B$5:$B$11,$X456)*POWER($D456,INDEX('Flow Curves'!$C$5:$C$11,$X456)))</f>
        <v/>
      </c>
    </row>
    <row r="457" customFormat="false" ht="15" hidden="false" customHeight="false" outlineLevel="0" collapsed="false">
      <c r="A457" s="16" t="n">
        <v>450</v>
      </c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8" t="n">
        <f aca="false">IF($O457=0,0,$O457*60*Cost!$D$16*Cost!$D$17*IFERROR(INDEX(Cost!$I$5:$I$11,MATCH($B457,Cost!$H$5:$H$11,0)),0)/Cost!$D$5)</f>
        <v>0</v>
      </c>
      <c r="O457" s="19" t="n">
        <f aca="false">IF($W457="",0,IF(INDEX('Flow Curves'!$A$5:$A$11,$X457)=INDEX('Flow Curves'!$A$5:$A$11,$W457),$Y457,$Y457+($Z457-$Y457)*(MAX(10,MIN(150,$C457))-INDEX('Flow Curves'!$A$5:$A$11,$W457))/(INDEX('Flow Curves'!$A$5:$A$11,$X457)-INDEX('Flow Curves'!$A$5:$A$11,$W457))))</f>
        <v>0</v>
      </c>
      <c r="P457" s="20" t="n">
        <f aca="false">IF(OR($B457="Air",$B457="Open Blow"),$O457*60*Cost!$D$16*Cost!$D$17/Cost!$D$5*Cost!$D$13,0)</f>
        <v>0</v>
      </c>
      <c r="Q457" s="17"/>
      <c r="U457" s="16" t="str">
        <f aca="false">IF($D457="","",IF(ISNA(MATCH($B457,Cost!$H$5:$H$11,0)),"CHECK GAS TYPE",IF(OR($C457&lt;10,$C457&gt;150),"CHECK PRESSURE: outside 10-150 psi table",IF(OR($D457&lt;1,$D457&gt;120),"CHECK dB: outside 1-120 table",IF(ISNA(MATCH($C457,'Flow Curves'!$A$5:$A$11,0)),"INTERPOLATED between curves","Table curve")))))</f>
        <v/>
      </c>
      <c r="W457" s="2" t="str">
        <f aca="false">IF(OR($D457="",$C457=""),"",MATCH(MAX(10,MIN(150,$C457)),'Flow Curves'!$A$5:$A$11,1))</f>
        <v/>
      </c>
      <c r="X457" s="2" t="str">
        <f aca="false">IF($W457="","",MIN($W457+1,7))</f>
        <v/>
      </c>
      <c r="Y457" s="2" t="str">
        <f aca="false">IF($W457="","",INDEX('Flow Curves'!$B$5:$B$11,$W457)*POWER($D457,INDEX('Flow Curves'!$C$5:$C$11,$W457)))</f>
        <v/>
      </c>
      <c r="Z457" s="2" t="str">
        <f aca="false">IF($W457="","",INDEX('Flow Curves'!$B$5:$B$11,$X457)*POWER($D457,INDEX('Flow Curves'!$C$5:$C$11,$X457)))</f>
        <v/>
      </c>
    </row>
    <row r="458" customFormat="false" ht="15" hidden="false" customHeight="false" outlineLevel="0" collapsed="false">
      <c r="A458" s="16" t="n">
        <v>451</v>
      </c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8" t="n">
        <f aca="false">IF($O458=0,0,$O458*60*Cost!$D$16*Cost!$D$17*IFERROR(INDEX(Cost!$I$5:$I$11,MATCH($B458,Cost!$H$5:$H$11,0)),0)/Cost!$D$5)</f>
        <v>0</v>
      </c>
      <c r="O458" s="19" t="n">
        <f aca="false">IF($W458="",0,IF(INDEX('Flow Curves'!$A$5:$A$11,$X458)=INDEX('Flow Curves'!$A$5:$A$11,$W458),$Y458,$Y458+($Z458-$Y458)*(MAX(10,MIN(150,$C458))-INDEX('Flow Curves'!$A$5:$A$11,$W458))/(INDEX('Flow Curves'!$A$5:$A$11,$X458)-INDEX('Flow Curves'!$A$5:$A$11,$W458))))</f>
        <v>0</v>
      </c>
      <c r="P458" s="20" t="n">
        <f aca="false">IF(OR($B458="Air",$B458="Open Blow"),$O458*60*Cost!$D$16*Cost!$D$17/Cost!$D$5*Cost!$D$13,0)</f>
        <v>0</v>
      </c>
      <c r="Q458" s="17"/>
      <c r="U458" s="16" t="str">
        <f aca="false">IF($D458="","",IF(ISNA(MATCH($B458,Cost!$H$5:$H$11,0)),"CHECK GAS TYPE",IF(OR($C458&lt;10,$C458&gt;150),"CHECK PRESSURE: outside 10-150 psi table",IF(OR($D458&lt;1,$D458&gt;120),"CHECK dB: outside 1-120 table",IF(ISNA(MATCH($C458,'Flow Curves'!$A$5:$A$11,0)),"INTERPOLATED between curves","Table curve")))))</f>
        <v/>
      </c>
      <c r="W458" s="2" t="str">
        <f aca="false">IF(OR($D458="",$C458=""),"",MATCH(MAX(10,MIN(150,$C458)),'Flow Curves'!$A$5:$A$11,1))</f>
        <v/>
      </c>
      <c r="X458" s="2" t="str">
        <f aca="false">IF($W458="","",MIN($W458+1,7))</f>
        <v/>
      </c>
      <c r="Y458" s="2" t="str">
        <f aca="false">IF($W458="","",INDEX('Flow Curves'!$B$5:$B$11,$W458)*POWER($D458,INDEX('Flow Curves'!$C$5:$C$11,$W458)))</f>
        <v/>
      </c>
      <c r="Z458" s="2" t="str">
        <f aca="false">IF($W458="","",INDEX('Flow Curves'!$B$5:$B$11,$X458)*POWER($D458,INDEX('Flow Curves'!$C$5:$C$11,$X458)))</f>
        <v/>
      </c>
    </row>
    <row r="459" customFormat="false" ht="15" hidden="false" customHeight="false" outlineLevel="0" collapsed="false">
      <c r="A459" s="16" t="n">
        <v>452</v>
      </c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8" t="n">
        <f aca="false">IF($O459=0,0,$O459*60*Cost!$D$16*Cost!$D$17*IFERROR(INDEX(Cost!$I$5:$I$11,MATCH($B459,Cost!$H$5:$H$11,0)),0)/Cost!$D$5)</f>
        <v>0</v>
      </c>
      <c r="O459" s="19" t="n">
        <f aca="false">IF($W459="",0,IF(INDEX('Flow Curves'!$A$5:$A$11,$X459)=INDEX('Flow Curves'!$A$5:$A$11,$W459),$Y459,$Y459+($Z459-$Y459)*(MAX(10,MIN(150,$C459))-INDEX('Flow Curves'!$A$5:$A$11,$W459))/(INDEX('Flow Curves'!$A$5:$A$11,$X459)-INDEX('Flow Curves'!$A$5:$A$11,$W459))))</f>
        <v>0</v>
      </c>
      <c r="P459" s="20" t="n">
        <f aca="false">IF(OR($B459="Air",$B459="Open Blow"),$O459*60*Cost!$D$16*Cost!$D$17/Cost!$D$5*Cost!$D$13,0)</f>
        <v>0</v>
      </c>
      <c r="Q459" s="17"/>
      <c r="U459" s="16" t="str">
        <f aca="false">IF($D459="","",IF(ISNA(MATCH($B459,Cost!$H$5:$H$11,0)),"CHECK GAS TYPE",IF(OR($C459&lt;10,$C459&gt;150),"CHECK PRESSURE: outside 10-150 psi table",IF(OR($D459&lt;1,$D459&gt;120),"CHECK dB: outside 1-120 table",IF(ISNA(MATCH($C459,'Flow Curves'!$A$5:$A$11,0)),"INTERPOLATED between curves","Table curve")))))</f>
        <v/>
      </c>
      <c r="W459" s="2" t="str">
        <f aca="false">IF(OR($D459="",$C459=""),"",MATCH(MAX(10,MIN(150,$C459)),'Flow Curves'!$A$5:$A$11,1))</f>
        <v/>
      </c>
      <c r="X459" s="2" t="str">
        <f aca="false">IF($W459="","",MIN($W459+1,7))</f>
        <v/>
      </c>
      <c r="Y459" s="2" t="str">
        <f aca="false">IF($W459="","",INDEX('Flow Curves'!$B$5:$B$11,$W459)*POWER($D459,INDEX('Flow Curves'!$C$5:$C$11,$W459)))</f>
        <v/>
      </c>
      <c r="Z459" s="2" t="str">
        <f aca="false">IF($W459="","",INDEX('Flow Curves'!$B$5:$B$11,$X459)*POWER($D459,INDEX('Flow Curves'!$C$5:$C$11,$X459)))</f>
        <v/>
      </c>
    </row>
    <row r="460" customFormat="false" ht="15" hidden="false" customHeight="false" outlineLevel="0" collapsed="false">
      <c r="A460" s="16" t="n">
        <v>453</v>
      </c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8" t="n">
        <f aca="false">IF($O460=0,0,$O460*60*Cost!$D$16*Cost!$D$17*IFERROR(INDEX(Cost!$I$5:$I$11,MATCH($B460,Cost!$H$5:$H$11,0)),0)/Cost!$D$5)</f>
        <v>0</v>
      </c>
      <c r="O460" s="19" t="n">
        <f aca="false">IF($W460="",0,IF(INDEX('Flow Curves'!$A$5:$A$11,$X460)=INDEX('Flow Curves'!$A$5:$A$11,$W460),$Y460,$Y460+($Z460-$Y460)*(MAX(10,MIN(150,$C460))-INDEX('Flow Curves'!$A$5:$A$11,$W460))/(INDEX('Flow Curves'!$A$5:$A$11,$X460)-INDEX('Flow Curves'!$A$5:$A$11,$W460))))</f>
        <v>0</v>
      </c>
      <c r="P460" s="20" t="n">
        <f aca="false">IF(OR($B460="Air",$B460="Open Blow"),$O460*60*Cost!$D$16*Cost!$D$17/Cost!$D$5*Cost!$D$13,0)</f>
        <v>0</v>
      </c>
      <c r="Q460" s="17"/>
      <c r="U460" s="16" t="str">
        <f aca="false">IF($D460="","",IF(ISNA(MATCH($B460,Cost!$H$5:$H$11,0)),"CHECK GAS TYPE",IF(OR($C460&lt;10,$C460&gt;150),"CHECK PRESSURE: outside 10-150 psi table",IF(OR($D460&lt;1,$D460&gt;120),"CHECK dB: outside 1-120 table",IF(ISNA(MATCH($C460,'Flow Curves'!$A$5:$A$11,0)),"INTERPOLATED between curves","Table curve")))))</f>
        <v/>
      </c>
      <c r="W460" s="2" t="str">
        <f aca="false">IF(OR($D460="",$C460=""),"",MATCH(MAX(10,MIN(150,$C460)),'Flow Curves'!$A$5:$A$11,1))</f>
        <v/>
      </c>
      <c r="X460" s="2" t="str">
        <f aca="false">IF($W460="","",MIN($W460+1,7))</f>
        <v/>
      </c>
      <c r="Y460" s="2" t="str">
        <f aca="false">IF($W460="","",INDEX('Flow Curves'!$B$5:$B$11,$W460)*POWER($D460,INDEX('Flow Curves'!$C$5:$C$11,$W460)))</f>
        <v/>
      </c>
      <c r="Z460" s="2" t="str">
        <f aca="false">IF($W460="","",INDEX('Flow Curves'!$B$5:$B$11,$X460)*POWER($D460,INDEX('Flow Curves'!$C$5:$C$11,$X460)))</f>
        <v/>
      </c>
    </row>
    <row r="461" customFormat="false" ht="15" hidden="false" customHeight="false" outlineLevel="0" collapsed="false">
      <c r="A461" s="16" t="n">
        <v>454</v>
      </c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8" t="n">
        <f aca="false">IF($O461=0,0,$O461*60*Cost!$D$16*Cost!$D$17*IFERROR(INDEX(Cost!$I$5:$I$11,MATCH($B461,Cost!$H$5:$H$11,0)),0)/Cost!$D$5)</f>
        <v>0</v>
      </c>
      <c r="O461" s="19" t="n">
        <f aca="false">IF($W461="",0,IF(INDEX('Flow Curves'!$A$5:$A$11,$X461)=INDEX('Flow Curves'!$A$5:$A$11,$W461),$Y461,$Y461+($Z461-$Y461)*(MAX(10,MIN(150,$C461))-INDEX('Flow Curves'!$A$5:$A$11,$W461))/(INDEX('Flow Curves'!$A$5:$A$11,$X461)-INDEX('Flow Curves'!$A$5:$A$11,$W461))))</f>
        <v>0</v>
      </c>
      <c r="P461" s="20" t="n">
        <f aca="false">IF(OR($B461="Air",$B461="Open Blow"),$O461*60*Cost!$D$16*Cost!$D$17/Cost!$D$5*Cost!$D$13,0)</f>
        <v>0</v>
      </c>
      <c r="Q461" s="17"/>
      <c r="U461" s="16" t="str">
        <f aca="false">IF($D461="","",IF(ISNA(MATCH($B461,Cost!$H$5:$H$11,0)),"CHECK GAS TYPE",IF(OR($C461&lt;10,$C461&gt;150),"CHECK PRESSURE: outside 10-150 psi table",IF(OR($D461&lt;1,$D461&gt;120),"CHECK dB: outside 1-120 table",IF(ISNA(MATCH($C461,'Flow Curves'!$A$5:$A$11,0)),"INTERPOLATED between curves","Table curve")))))</f>
        <v/>
      </c>
      <c r="W461" s="2" t="str">
        <f aca="false">IF(OR($D461="",$C461=""),"",MATCH(MAX(10,MIN(150,$C461)),'Flow Curves'!$A$5:$A$11,1))</f>
        <v/>
      </c>
      <c r="X461" s="2" t="str">
        <f aca="false">IF($W461="","",MIN($W461+1,7))</f>
        <v/>
      </c>
      <c r="Y461" s="2" t="str">
        <f aca="false">IF($W461="","",INDEX('Flow Curves'!$B$5:$B$11,$W461)*POWER($D461,INDEX('Flow Curves'!$C$5:$C$11,$W461)))</f>
        <v/>
      </c>
      <c r="Z461" s="2" t="str">
        <f aca="false">IF($W461="","",INDEX('Flow Curves'!$B$5:$B$11,$X461)*POWER($D461,INDEX('Flow Curves'!$C$5:$C$11,$X461)))</f>
        <v/>
      </c>
    </row>
    <row r="462" customFormat="false" ht="15" hidden="false" customHeight="false" outlineLevel="0" collapsed="false">
      <c r="A462" s="16" t="n">
        <v>455</v>
      </c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8" t="n">
        <f aca="false">IF($O462=0,0,$O462*60*Cost!$D$16*Cost!$D$17*IFERROR(INDEX(Cost!$I$5:$I$11,MATCH($B462,Cost!$H$5:$H$11,0)),0)/Cost!$D$5)</f>
        <v>0</v>
      </c>
      <c r="O462" s="19" t="n">
        <f aca="false">IF($W462="",0,IF(INDEX('Flow Curves'!$A$5:$A$11,$X462)=INDEX('Flow Curves'!$A$5:$A$11,$W462),$Y462,$Y462+($Z462-$Y462)*(MAX(10,MIN(150,$C462))-INDEX('Flow Curves'!$A$5:$A$11,$W462))/(INDEX('Flow Curves'!$A$5:$A$11,$X462)-INDEX('Flow Curves'!$A$5:$A$11,$W462))))</f>
        <v>0</v>
      </c>
      <c r="P462" s="20" t="n">
        <f aca="false">IF(OR($B462="Air",$B462="Open Blow"),$O462*60*Cost!$D$16*Cost!$D$17/Cost!$D$5*Cost!$D$13,0)</f>
        <v>0</v>
      </c>
      <c r="Q462" s="17"/>
      <c r="U462" s="16" t="str">
        <f aca="false">IF($D462="","",IF(ISNA(MATCH($B462,Cost!$H$5:$H$11,0)),"CHECK GAS TYPE",IF(OR($C462&lt;10,$C462&gt;150),"CHECK PRESSURE: outside 10-150 psi table",IF(OR($D462&lt;1,$D462&gt;120),"CHECK dB: outside 1-120 table",IF(ISNA(MATCH($C462,'Flow Curves'!$A$5:$A$11,0)),"INTERPOLATED between curves","Table curve")))))</f>
        <v/>
      </c>
      <c r="W462" s="2" t="str">
        <f aca="false">IF(OR($D462="",$C462=""),"",MATCH(MAX(10,MIN(150,$C462)),'Flow Curves'!$A$5:$A$11,1))</f>
        <v/>
      </c>
      <c r="X462" s="2" t="str">
        <f aca="false">IF($W462="","",MIN($W462+1,7))</f>
        <v/>
      </c>
      <c r="Y462" s="2" t="str">
        <f aca="false">IF($W462="","",INDEX('Flow Curves'!$B$5:$B$11,$W462)*POWER($D462,INDEX('Flow Curves'!$C$5:$C$11,$W462)))</f>
        <v/>
      </c>
      <c r="Z462" s="2" t="str">
        <f aca="false">IF($W462="","",INDEX('Flow Curves'!$B$5:$B$11,$X462)*POWER($D462,INDEX('Flow Curves'!$C$5:$C$11,$X462)))</f>
        <v/>
      </c>
    </row>
    <row r="463" customFormat="false" ht="15" hidden="false" customHeight="false" outlineLevel="0" collapsed="false">
      <c r="A463" s="16" t="n">
        <v>456</v>
      </c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8" t="n">
        <f aca="false">IF($O463=0,0,$O463*60*Cost!$D$16*Cost!$D$17*IFERROR(INDEX(Cost!$I$5:$I$11,MATCH($B463,Cost!$H$5:$H$11,0)),0)/Cost!$D$5)</f>
        <v>0</v>
      </c>
      <c r="O463" s="19" t="n">
        <f aca="false">IF($W463="",0,IF(INDEX('Flow Curves'!$A$5:$A$11,$X463)=INDEX('Flow Curves'!$A$5:$A$11,$W463),$Y463,$Y463+($Z463-$Y463)*(MAX(10,MIN(150,$C463))-INDEX('Flow Curves'!$A$5:$A$11,$W463))/(INDEX('Flow Curves'!$A$5:$A$11,$X463)-INDEX('Flow Curves'!$A$5:$A$11,$W463))))</f>
        <v>0</v>
      </c>
      <c r="P463" s="20" t="n">
        <f aca="false">IF(OR($B463="Air",$B463="Open Blow"),$O463*60*Cost!$D$16*Cost!$D$17/Cost!$D$5*Cost!$D$13,0)</f>
        <v>0</v>
      </c>
      <c r="Q463" s="17"/>
      <c r="U463" s="16" t="str">
        <f aca="false">IF($D463="","",IF(ISNA(MATCH($B463,Cost!$H$5:$H$11,0)),"CHECK GAS TYPE",IF(OR($C463&lt;10,$C463&gt;150),"CHECK PRESSURE: outside 10-150 psi table",IF(OR($D463&lt;1,$D463&gt;120),"CHECK dB: outside 1-120 table",IF(ISNA(MATCH($C463,'Flow Curves'!$A$5:$A$11,0)),"INTERPOLATED between curves","Table curve")))))</f>
        <v/>
      </c>
      <c r="W463" s="2" t="str">
        <f aca="false">IF(OR($D463="",$C463=""),"",MATCH(MAX(10,MIN(150,$C463)),'Flow Curves'!$A$5:$A$11,1))</f>
        <v/>
      </c>
      <c r="X463" s="2" t="str">
        <f aca="false">IF($W463="","",MIN($W463+1,7))</f>
        <v/>
      </c>
      <c r="Y463" s="2" t="str">
        <f aca="false">IF($W463="","",INDEX('Flow Curves'!$B$5:$B$11,$W463)*POWER($D463,INDEX('Flow Curves'!$C$5:$C$11,$W463)))</f>
        <v/>
      </c>
      <c r="Z463" s="2" t="str">
        <f aca="false">IF($W463="","",INDEX('Flow Curves'!$B$5:$B$11,$X463)*POWER($D463,INDEX('Flow Curves'!$C$5:$C$11,$X463)))</f>
        <v/>
      </c>
    </row>
    <row r="464" customFormat="false" ht="15" hidden="false" customHeight="false" outlineLevel="0" collapsed="false">
      <c r="A464" s="16" t="n">
        <v>457</v>
      </c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8" t="n">
        <f aca="false">IF($O464=0,0,$O464*60*Cost!$D$16*Cost!$D$17*IFERROR(INDEX(Cost!$I$5:$I$11,MATCH($B464,Cost!$H$5:$H$11,0)),0)/Cost!$D$5)</f>
        <v>0</v>
      </c>
      <c r="O464" s="19" t="n">
        <f aca="false">IF($W464="",0,IF(INDEX('Flow Curves'!$A$5:$A$11,$X464)=INDEX('Flow Curves'!$A$5:$A$11,$W464),$Y464,$Y464+($Z464-$Y464)*(MAX(10,MIN(150,$C464))-INDEX('Flow Curves'!$A$5:$A$11,$W464))/(INDEX('Flow Curves'!$A$5:$A$11,$X464)-INDEX('Flow Curves'!$A$5:$A$11,$W464))))</f>
        <v>0</v>
      </c>
      <c r="P464" s="20" t="n">
        <f aca="false">IF(OR($B464="Air",$B464="Open Blow"),$O464*60*Cost!$D$16*Cost!$D$17/Cost!$D$5*Cost!$D$13,0)</f>
        <v>0</v>
      </c>
      <c r="Q464" s="17"/>
      <c r="U464" s="16" t="str">
        <f aca="false">IF($D464="","",IF(ISNA(MATCH($B464,Cost!$H$5:$H$11,0)),"CHECK GAS TYPE",IF(OR($C464&lt;10,$C464&gt;150),"CHECK PRESSURE: outside 10-150 psi table",IF(OR($D464&lt;1,$D464&gt;120),"CHECK dB: outside 1-120 table",IF(ISNA(MATCH($C464,'Flow Curves'!$A$5:$A$11,0)),"INTERPOLATED between curves","Table curve")))))</f>
        <v/>
      </c>
      <c r="W464" s="2" t="str">
        <f aca="false">IF(OR($D464="",$C464=""),"",MATCH(MAX(10,MIN(150,$C464)),'Flow Curves'!$A$5:$A$11,1))</f>
        <v/>
      </c>
      <c r="X464" s="2" t="str">
        <f aca="false">IF($W464="","",MIN($W464+1,7))</f>
        <v/>
      </c>
      <c r="Y464" s="2" t="str">
        <f aca="false">IF($W464="","",INDEX('Flow Curves'!$B$5:$B$11,$W464)*POWER($D464,INDEX('Flow Curves'!$C$5:$C$11,$W464)))</f>
        <v/>
      </c>
      <c r="Z464" s="2" t="str">
        <f aca="false">IF($W464="","",INDEX('Flow Curves'!$B$5:$B$11,$X464)*POWER($D464,INDEX('Flow Curves'!$C$5:$C$11,$X464)))</f>
        <v/>
      </c>
    </row>
    <row r="465" customFormat="false" ht="15" hidden="false" customHeight="false" outlineLevel="0" collapsed="false">
      <c r="A465" s="16" t="n">
        <v>458</v>
      </c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8" t="n">
        <f aca="false">IF($O465=0,0,$O465*60*Cost!$D$16*Cost!$D$17*IFERROR(INDEX(Cost!$I$5:$I$11,MATCH($B465,Cost!$H$5:$H$11,0)),0)/Cost!$D$5)</f>
        <v>0</v>
      </c>
      <c r="O465" s="19" t="n">
        <f aca="false">IF($W465="",0,IF(INDEX('Flow Curves'!$A$5:$A$11,$X465)=INDEX('Flow Curves'!$A$5:$A$11,$W465),$Y465,$Y465+($Z465-$Y465)*(MAX(10,MIN(150,$C465))-INDEX('Flow Curves'!$A$5:$A$11,$W465))/(INDEX('Flow Curves'!$A$5:$A$11,$X465)-INDEX('Flow Curves'!$A$5:$A$11,$W465))))</f>
        <v>0</v>
      </c>
      <c r="P465" s="20" t="n">
        <f aca="false">IF(OR($B465="Air",$B465="Open Blow"),$O465*60*Cost!$D$16*Cost!$D$17/Cost!$D$5*Cost!$D$13,0)</f>
        <v>0</v>
      </c>
      <c r="Q465" s="17"/>
      <c r="U465" s="16" t="str">
        <f aca="false">IF($D465="","",IF(ISNA(MATCH($B465,Cost!$H$5:$H$11,0)),"CHECK GAS TYPE",IF(OR($C465&lt;10,$C465&gt;150),"CHECK PRESSURE: outside 10-150 psi table",IF(OR($D465&lt;1,$D465&gt;120),"CHECK dB: outside 1-120 table",IF(ISNA(MATCH($C465,'Flow Curves'!$A$5:$A$11,0)),"INTERPOLATED between curves","Table curve")))))</f>
        <v/>
      </c>
      <c r="W465" s="2" t="str">
        <f aca="false">IF(OR($D465="",$C465=""),"",MATCH(MAX(10,MIN(150,$C465)),'Flow Curves'!$A$5:$A$11,1))</f>
        <v/>
      </c>
      <c r="X465" s="2" t="str">
        <f aca="false">IF($W465="","",MIN($W465+1,7))</f>
        <v/>
      </c>
      <c r="Y465" s="2" t="str">
        <f aca="false">IF($W465="","",INDEX('Flow Curves'!$B$5:$B$11,$W465)*POWER($D465,INDEX('Flow Curves'!$C$5:$C$11,$W465)))</f>
        <v/>
      </c>
      <c r="Z465" s="2" t="str">
        <f aca="false">IF($W465="","",INDEX('Flow Curves'!$B$5:$B$11,$X465)*POWER($D465,INDEX('Flow Curves'!$C$5:$C$11,$X465)))</f>
        <v/>
      </c>
    </row>
    <row r="466" customFormat="false" ht="15" hidden="false" customHeight="false" outlineLevel="0" collapsed="false">
      <c r="A466" s="16" t="n">
        <v>459</v>
      </c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8" t="n">
        <f aca="false">IF($O466=0,0,$O466*60*Cost!$D$16*Cost!$D$17*IFERROR(INDEX(Cost!$I$5:$I$11,MATCH($B466,Cost!$H$5:$H$11,0)),0)/Cost!$D$5)</f>
        <v>0</v>
      </c>
      <c r="O466" s="19" t="n">
        <f aca="false">IF($W466="",0,IF(INDEX('Flow Curves'!$A$5:$A$11,$X466)=INDEX('Flow Curves'!$A$5:$A$11,$W466),$Y466,$Y466+($Z466-$Y466)*(MAX(10,MIN(150,$C466))-INDEX('Flow Curves'!$A$5:$A$11,$W466))/(INDEX('Flow Curves'!$A$5:$A$11,$X466)-INDEX('Flow Curves'!$A$5:$A$11,$W466))))</f>
        <v>0</v>
      </c>
      <c r="P466" s="20" t="n">
        <f aca="false">IF(OR($B466="Air",$B466="Open Blow"),$O466*60*Cost!$D$16*Cost!$D$17/Cost!$D$5*Cost!$D$13,0)</f>
        <v>0</v>
      </c>
      <c r="Q466" s="17"/>
      <c r="U466" s="16" t="str">
        <f aca="false">IF($D466="","",IF(ISNA(MATCH($B466,Cost!$H$5:$H$11,0)),"CHECK GAS TYPE",IF(OR($C466&lt;10,$C466&gt;150),"CHECK PRESSURE: outside 10-150 psi table",IF(OR($D466&lt;1,$D466&gt;120),"CHECK dB: outside 1-120 table",IF(ISNA(MATCH($C466,'Flow Curves'!$A$5:$A$11,0)),"INTERPOLATED between curves","Table curve")))))</f>
        <v/>
      </c>
      <c r="W466" s="2" t="str">
        <f aca="false">IF(OR($D466="",$C466=""),"",MATCH(MAX(10,MIN(150,$C466)),'Flow Curves'!$A$5:$A$11,1))</f>
        <v/>
      </c>
      <c r="X466" s="2" t="str">
        <f aca="false">IF($W466="","",MIN($W466+1,7))</f>
        <v/>
      </c>
      <c r="Y466" s="2" t="str">
        <f aca="false">IF($W466="","",INDEX('Flow Curves'!$B$5:$B$11,$W466)*POWER($D466,INDEX('Flow Curves'!$C$5:$C$11,$W466)))</f>
        <v/>
      </c>
      <c r="Z466" s="2" t="str">
        <f aca="false">IF($W466="","",INDEX('Flow Curves'!$B$5:$B$11,$X466)*POWER($D466,INDEX('Flow Curves'!$C$5:$C$11,$X466)))</f>
        <v/>
      </c>
    </row>
    <row r="467" customFormat="false" ht="15" hidden="false" customHeight="false" outlineLevel="0" collapsed="false">
      <c r="A467" s="16" t="n">
        <v>460</v>
      </c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8" t="n">
        <f aca="false">IF($O467=0,0,$O467*60*Cost!$D$16*Cost!$D$17*IFERROR(INDEX(Cost!$I$5:$I$11,MATCH($B467,Cost!$H$5:$H$11,0)),0)/Cost!$D$5)</f>
        <v>0</v>
      </c>
      <c r="O467" s="19" t="n">
        <f aca="false">IF($W467="",0,IF(INDEX('Flow Curves'!$A$5:$A$11,$X467)=INDEX('Flow Curves'!$A$5:$A$11,$W467),$Y467,$Y467+($Z467-$Y467)*(MAX(10,MIN(150,$C467))-INDEX('Flow Curves'!$A$5:$A$11,$W467))/(INDEX('Flow Curves'!$A$5:$A$11,$X467)-INDEX('Flow Curves'!$A$5:$A$11,$W467))))</f>
        <v>0</v>
      </c>
      <c r="P467" s="20" t="n">
        <f aca="false">IF(OR($B467="Air",$B467="Open Blow"),$O467*60*Cost!$D$16*Cost!$D$17/Cost!$D$5*Cost!$D$13,0)</f>
        <v>0</v>
      </c>
      <c r="Q467" s="17"/>
      <c r="U467" s="16" t="str">
        <f aca="false">IF($D467="","",IF(ISNA(MATCH($B467,Cost!$H$5:$H$11,0)),"CHECK GAS TYPE",IF(OR($C467&lt;10,$C467&gt;150),"CHECK PRESSURE: outside 10-150 psi table",IF(OR($D467&lt;1,$D467&gt;120),"CHECK dB: outside 1-120 table",IF(ISNA(MATCH($C467,'Flow Curves'!$A$5:$A$11,0)),"INTERPOLATED between curves","Table curve")))))</f>
        <v/>
      </c>
      <c r="W467" s="2" t="str">
        <f aca="false">IF(OR($D467="",$C467=""),"",MATCH(MAX(10,MIN(150,$C467)),'Flow Curves'!$A$5:$A$11,1))</f>
        <v/>
      </c>
      <c r="X467" s="2" t="str">
        <f aca="false">IF($W467="","",MIN($W467+1,7))</f>
        <v/>
      </c>
      <c r="Y467" s="2" t="str">
        <f aca="false">IF($W467="","",INDEX('Flow Curves'!$B$5:$B$11,$W467)*POWER($D467,INDEX('Flow Curves'!$C$5:$C$11,$W467)))</f>
        <v/>
      </c>
      <c r="Z467" s="2" t="str">
        <f aca="false">IF($W467="","",INDEX('Flow Curves'!$B$5:$B$11,$X467)*POWER($D467,INDEX('Flow Curves'!$C$5:$C$11,$X467)))</f>
        <v/>
      </c>
    </row>
    <row r="468" customFormat="false" ht="15" hidden="false" customHeight="false" outlineLevel="0" collapsed="false">
      <c r="A468" s="16" t="n">
        <v>461</v>
      </c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8" t="n">
        <f aca="false">IF($O468=0,0,$O468*60*Cost!$D$16*Cost!$D$17*IFERROR(INDEX(Cost!$I$5:$I$11,MATCH($B468,Cost!$H$5:$H$11,0)),0)/Cost!$D$5)</f>
        <v>0</v>
      </c>
      <c r="O468" s="19" t="n">
        <f aca="false">IF($W468="",0,IF(INDEX('Flow Curves'!$A$5:$A$11,$X468)=INDEX('Flow Curves'!$A$5:$A$11,$W468),$Y468,$Y468+($Z468-$Y468)*(MAX(10,MIN(150,$C468))-INDEX('Flow Curves'!$A$5:$A$11,$W468))/(INDEX('Flow Curves'!$A$5:$A$11,$X468)-INDEX('Flow Curves'!$A$5:$A$11,$W468))))</f>
        <v>0</v>
      </c>
      <c r="P468" s="20" t="n">
        <f aca="false">IF(OR($B468="Air",$B468="Open Blow"),$O468*60*Cost!$D$16*Cost!$D$17/Cost!$D$5*Cost!$D$13,0)</f>
        <v>0</v>
      </c>
      <c r="Q468" s="17"/>
      <c r="U468" s="16" t="str">
        <f aca="false">IF($D468="","",IF(ISNA(MATCH($B468,Cost!$H$5:$H$11,0)),"CHECK GAS TYPE",IF(OR($C468&lt;10,$C468&gt;150),"CHECK PRESSURE: outside 10-150 psi table",IF(OR($D468&lt;1,$D468&gt;120),"CHECK dB: outside 1-120 table",IF(ISNA(MATCH($C468,'Flow Curves'!$A$5:$A$11,0)),"INTERPOLATED between curves","Table curve")))))</f>
        <v/>
      </c>
      <c r="W468" s="2" t="str">
        <f aca="false">IF(OR($D468="",$C468=""),"",MATCH(MAX(10,MIN(150,$C468)),'Flow Curves'!$A$5:$A$11,1))</f>
        <v/>
      </c>
      <c r="X468" s="2" t="str">
        <f aca="false">IF($W468="","",MIN($W468+1,7))</f>
        <v/>
      </c>
      <c r="Y468" s="2" t="str">
        <f aca="false">IF($W468="","",INDEX('Flow Curves'!$B$5:$B$11,$W468)*POWER($D468,INDEX('Flow Curves'!$C$5:$C$11,$W468)))</f>
        <v/>
      </c>
      <c r="Z468" s="2" t="str">
        <f aca="false">IF($W468="","",INDEX('Flow Curves'!$B$5:$B$11,$X468)*POWER($D468,INDEX('Flow Curves'!$C$5:$C$11,$X468)))</f>
        <v/>
      </c>
    </row>
    <row r="469" customFormat="false" ht="15" hidden="false" customHeight="false" outlineLevel="0" collapsed="false">
      <c r="A469" s="16" t="n">
        <v>462</v>
      </c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8" t="n">
        <f aca="false">IF($O469=0,0,$O469*60*Cost!$D$16*Cost!$D$17*IFERROR(INDEX(Cost!$I$5:$I$11,MATCH($B469,Cost!$H$5:$H$11,0)),0)/Cost!$D$5)</f>
        <v>0</v>
      </c>
      <c r="O469" s="19" t="n">
        <f aca="false">IF($W469="",0,IF(INDEX('Flow Curves'!$A$5:$A$11,$X469)=INDEX('Flow Curves'!$A$5:$A$11,$W469),$Y469,$Y469+($Z469-$Y469)*(MAX(10,MIN(150,$C469))-INDEX('Flow Curves'!$A$5:$A$11,$W469))/(INDEX('Flow Curves'!$A$5:$A$11,$X469)-INDEX('Flow Curves'!$A$5:$A$11,$W469))))</f>
        <v>0</v>
      </c>
      <c r="P469" s="20" t="n">
        <f aca="false">IF(OR($B469="Air",$B469="Open Blow"),$O469*60*Cost!$D$16*Cost!$D$17/Cost!$D$5*Cost!$D$13,0)</f>
        <v>0</v>
      </c>
      <c r="Q469" s="17"/>
      <c r="U469" s="16" t="str">
        <f aca="false">IF($D469="","",IF(ISNA(MATCH($B469,Cost!$H$5:$H$11,0)),"CHECK GAS TYPE",IF(OR($C469&lt;10,$C469&gt;150),"CHECK PRESSURE: outside 10-150 psi table",IF(OR($D469&lt;1,$D469&gt;120),"CHECK dB: outside 1-120 table",IF(ISNA(MATCH($C469,'Flow Curves'!$A$5:$A$11,0)),"INTERPOLATED between curves","Table curve")))))</f>
        <v/>
      </c>
      <c r="W469" s="2" t="str">
        <f aca="false">IF(OR($D469="",$C469=""),"",MATCH(MAX(10,MIN(150,$C469)),'Flow Curves'!$A$5:$A$11,1))</f>
        <v/>
      </c>
      <c r="X469" s="2" t="str">
        <f aca="false">IF($W469="","",MIN($W469+1,7))</f>
        <v/>
      </c>
      <c r="Y469" s="2" t="str">
        <f aca="false">IF($W469="","",INDEX('Flow Curves'!$B$5:$B$11,$W469)*POWER($D469,INDEX('Flow Curves'!$C$5:$C$11,$W469)))</f>
        <v/>
      </c>
      <c r="Z469" s="2" t="str">
        <f aca="false">IF($W469="","",INDEX('Flow Curves'!$B$5:$B$11,$X469)*POWER($D469,INDEX('Flow Curves'!$C$5:$C$11,$X469)))</f>
        <v/>
      </c>
    </row>
    <row r="470" customFormat="false" ht="15" hidden="false" customHeight="false" outlineLevel="0" collapsed="false">
      <c r="A470" s="16" t="n">
        <v>463</v>
      </c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8" t="n">
        <f aca="false">IF($O470=0,0,$O470*60*Cost!$D$16*Cost!$D$17*IFERROR(INDEX(Cost!$I$5:$I$11,MATCH($B470,Cost!$H$5:$H$11,0)),0)/Cost!$D$5)</f>
        <v>0</v>
      </c>
      <c r="O470" s="19" t="n">
        <f aca="false">IF($W470="",0,IF(INDEX('Flow Curves'!$A$5:$A$11,$X470)=INDEX('Flow Curves'!$A$5:$A$11,$W470),$Y470,$Y470+($Z470-$Y470)*(MAX(10,MIN(150,$C470))-INDEX('Flow Curves'!$A$5:$A$11,$W470))/(INDEX('Flow Curves'!$A$5:$A$11,$X470)-INDEX('Flow Curves'!$A$5:$A$11,$W470))))</f>
        <v>0</v>
      </c>
      <c r="P470" s="20" t="n">
        <f aca="false">IF(OR($B470="Air",$B470="Open Blow"),$O470*60*Cost!$D$16*Cost!$D$17/Cost!$D$5*Cost!$D$13,0)</f>
        <v>0</v>
      </c>
      <c r="Q470" s="17"/>
      <c r="U470" s="16" t="str">
        <f aca="false">IF($D470="","",IF(ISNA(MATCH($B470,Cost!$H$5:$H$11,0)),"CHECK GAS TYPE",IF(OR($C470&lt;10,$C470&gt;150),"CHECK PRESSURE: outside 10-150 psi table",IF(OR($D470&lt;1,$D470&gt;120),"CHECK dB: outside 1-120 table",IF(ISNA(MATCH($C470,'Flow Curves'!$A$5:$A$11,0)),"INTERPOLATED between curves","Table curve")))))</f>
        <v/>
      </c>
      <c r="W470" s="2" t="str">
        <f aca="false">IF(OR($D470="",$C470=""),"",MATCH(MAX(10,MIN(150,$C470)),'Flow Curves'!$A$5:$A$11,1))</f>
        <v/>
      </c>
      <c r="X470" s="2" t="str">
        <f aca="false">IF($W470="","",MIN($W470+1,7))</f>
        <v/>
      </c>
      <c r="Y470" s="2" t="str">
        <f aca="false">IF($W470="","",INDEX('Flow Curves'!$B$5:$B$11,$W470)*POWER($D470,INDEX('Flow Curves'!$C$5:$C$11,$W470)))</f>
        <v/>
      </c>
      <c r="Z470" s="2" t="str">
        <f aca="false">IF($W470="","",INDEX('Flow Curves'!$B$5:$B$11,$X470)*POWER($D470,INDEX('Flow Curves'!$C$5:$C$11,$X470)))</f>
        <v/>
      </c>
    </row>
    <row r="471" customFormat="false" ht="15" hidden="false" customHeight="false" outlineLevel="0" collapsed="false">
      <c r="A471" s="16" t="n">
        <v>464</v>
      </c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8" t="n">
        <f aca="false">IF($O471=0,0,$O471*60*Cost!$D$16*Cost!$D$17*IFERROR(INDEX(Cost!$I$5:$I$11,MATCH($B471,Cost!$H$5:$H$11,0)),0)/Cost!$D$5)</f>
        <v>0</v>
      </c>
      <c r="O471" s="19" t="n">
        <f aca="false">IF($W471="",0,IF(INDEX('Flow Curves'!$A$5:$A$11,$X471)=INDEX('Flow Curves'!$A$5:$A$11,$W471),$Y471,$Y471+($Z471-$Y471)*(MAX(10,MIN(150,$C471))-INDEX('Flow Curves'!$A$5:$A$11,$W471))/(INDEX('Flow Curves'!$A$5:$A$11,$X471)-INDEX('Flow Curves'!$A$5:$A$11,$W471))))</f>
        <v>0</v>
      </c>
      <c r="P471" s="20" t="n">
        <f aca="false">IF(OR($B471="Air",$B471="Open Blow"),$O471*60*Cost!$D$16*Cost!$D$17/Cost!$D$5*Cost!$D$13,0)</f>
        <v>0</v>
      </c>
      <c r="Q471" s="17"/>
      <c r="U471" s="16" t="str">
        <f aca="false">IF($D471="","",IF(ISNA(MATCH($B471,Cost!$H$5:$H$11,0)),"CHECK GAS TYPE",IF(OR($C471&lt;10,$C471&gt;150),"CHECK PRESSURE: outside 10-150 psi table",IF(OR($D471&lt;1,$D471&gt;120),"CHECK dB: outside 1-120 table",IF(ISNA(MATCH($C471,'Flow Curves'!$A$5:$A$11,0)),"INTERPOLATED between curves","Table curve")))))</f>
        <v/>
      </c>
      <c r="W471" s="2" t="str">
        <f aca="false">IF(OR($D471="",$C471=""),"",MATCH(MAX(10,MIN(150,$C471)),'Flow Curves'!$A$5:$A$11,1))</f>
        <v/>
      </c>
      <c r="X471" s="2" t="str">
        <f aca="false">IF($W471="","",MIN($W471+1,7))</f>
        <v/>
      </c>
      <c r="Y471" s="2" t="str">
        <f aca="false">IF($W471="","",INDEX('Flow Curves'!$B$5:$B$11,$W471)*POWER($D471,INDEX('Flow Curves'!$C$5:$C$11,$W471)))</f>
        <v/>
      </c>
      <c r="Z471" s="2" t="str">
        <f aca="false">IF($W471="","",INDEX('Flow Curves'!$B$5:$B$11,$X471)*POWER($D471,INDEX('Flow Curves'!$C$5:$C$11,$X471)))</f>
        <v/>
      </c>
    </row>
    <row r="472" customFormat="false" ht="15" hidden="false" customHeight="false" outlineLevel="0" collapsed="false">
      <c r="A472" s="16" t="n">
        <v>465</v>
      </c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8" t="n">
        <f aca="false">IF($O472=0,0,$O472*60*Cost!$D$16*Cost!$D$17*IFERROR(INDEX(Cost!$I$5:$I$11,MATCH($B472,Cost!$H$5:$H$11,0)),0)/Cost!$D$5)</f>
        <v>0</v>
      </c>
      <c r="O472" s="19" t="n">
        <f aca="false">IF($W472="",0,IF(INDEX('Flow Curves'!$A$5:$A$11,$X472)=INDEX('Flow Curves'!$A$5:$A$11,$W472),$Y472,$Y472+($Z472-$Y472)*(MAX(10,MIN(150,$C472))-INDEX('Flow Curves'!$A$5:$A$11,$W472))/(INDEX('Flow Curves'!$A$5:$A$11,$X472)-INDEX('Flow Curves'!$A$5:$A$11,$W472))))</f>
        <v>0</v>
      </c>
      <c r="P472" s="20" t="n">
        <f aca="false">IF(OR($B472="Air",$B472="Open Blow"),$O472*60*Cost!$D$16*Cost!$D$17/Cost!$D$5*Cost!$D$13,0)</f>
        <v>0</v>
      </c>
      <c r="Q472" s="17"/>
      <c r="U472" s="16" t="str">
        <f aca="false">IF($D472="","",IF(ISNA(MATCH($B472,Cost!$H$5:$H$11,0)),"CHECK GAS TYPE",IF(OR($C472&lt;10,$C472&gt;150),"CHECK PRESSURE: outside 10-150 psi table",IF(OR($D472&lt;1,$D472&gt;120),"CHECK dB: outside 1-120 table",IF(ISNA(MATCH($C472,'Flow Curves'!$A$5:$A$11,0)),"INTERPOLATED between curves","Table curve")))))</f>
        <v/>
      </c>
      <c r="W472" s="2" t="str">
        <f aca="false">IF(OR($D472="",$C472=""),"",MATCH(MAX(10,MIN(150,$C472)),'Flow Curves'!$A$5:$A$11,1))</f>
        <v/>
      </c>
      <c r="X472" s="2" t="str">
        <f aca="false">IF($W472="","",MIN($W472+1,7))</f>
        <v/>
      </c>
      <c r="Y472" s="2" t="str">
        <f aca="false">IF($W472="","",INDEX('Flow Curves'!$B$5:$B$11,$W472)*POWER($D472,INDEX('Flow Curves'!$C$5:$C$11,$W472)))</f>
        <v/>
      </c>
      <c r="Z472" s="2" t="str">
        <f aca="false">IF($W472="","",INDEX('Flow Curves'!$B$5:$B$11,$X472)*POWER($D472,INDEX('Flow Curves'!$C$5:$C$11,$X472)))</f>
        <v/>
      </c>
    </row>
    <row r="473" customFormat="false" ht="15" hidden="false" customHeight="false" outlineLevel="0" collapsed="false">
      <c r="A473" s="16" t="n">
        <v>466</v>
      </c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8" t="n">
        <f aca="false">IF($O473=0,0,$O473*60*Cost!$D$16*Cost!$D$17*IFERROR(INDEX(Cost!$I$5:$I$11,MATCH($B473,Cost!$H$5:$H$11,0)),0)/Cost!$D$5)</f>
        <v>0</v>
      </c>
      <c r="O473" s="19" t="n">
        <f aca="false">IF($W473="",0,IF(INDEX('Flow Curves'!$A$5:$A$11,$X473)=INDEX('Flow Curves'!$A$5:$A$11,$W473),$Y473,$Y473+($Z473-$Y473)*(MAX(10,MIN(150,$C473))-INDEX('Flow Curves'!$A$5:$A$11,$W473))/(INDEX('Flow Curves'!$A$5:$A$11,$X473)-INDEX('Flow Curves'!$A$5:$A$11,$W473))))</f>
        <v>0</v>
      </c>
      <c r="P473" s="20" t="n">
        <f aca="false">IF(OR($B473="Air",$B473="Open Blow"),$O473*60*Cost!$D$16*Cost!$D$17/Cost!$D$5*Cost!$D$13,0)</f>
        <v>0</v>
      </c>
      <c r="Q473" s="17"/>
      <c r="U473" s="16" t="str">
        <f aca="false">IF($D473="","",IF(ISNA(MATCH($B473,Cost!$H$5:$H$11,0)),"CHECK GAS TYPE",IF(OR($C473&lt;10,$C473&gt;150),"CHECK PRESSURE: outside 10-150 psi table",IF(OR($D473&lt;1,$D473&gt;120),"CHECK dB: outside 1-120 table",IF(ISNA(MATCH($C473,'Flow Curves'!$A$5:$A$11,0)),"INTERPOLATED between curves","Table curve")))))</f>
        <v/>
      </c>
      <c r="W473" s="2" t="str">
        <f aca="false">IF(OR($D473="",$C473=""),"",MATCH(MAX(10,MIN(150,$C473)),'Flow Curves'!$A$5:$A$11,1))</f>
        <v/>
      </c>
      <c r="X473" s="2" t="str">
        <f aca="false">IF($W473="","",MIN($W473+1,7))</f>
        <v/>
      </c>
      <c r="Y473" s="2" t="str">
        <f aca="false">IF($W473="","",INDEX('Flow Curves'!$B$5:$B$11,$W473)*POWER($D473,INDEX('Flow Curves'!$C$5:$C$11,$W473)))</f>
        <v/>
      </c>
      <c r="Z473" s="2" t="str">
        <f aca="false">IF($W473="","",INDEX('Flow Curves'!$B$5:$B$11,$X473)*POWER($D473,INDEX('Flow Curves'!$C$5:$C$11,$X473)))</f>
        <v/>
      </c>
    </row>
    <row r="474" customFormat="false" ht="15" hidden="false" customHeight="false" outlineLevel="0" collapsed="false">
      <c r="A474" s="16" t="n">
        <v>467</v>
      </c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8" t="n">
        <f aca="false">IF($O474=0,0,$O474*60*Cost!$D$16*Cost!$D$17*IFERROR(INDEX(Cost!$I$5:$I$11,MATCH($B474,Cost!$H$5:$H$11,0)),0)/Cost!$D$5)</f>
        <v>0</v>
      </c>
      <c r="O474" s="19" t="n">
        <f aca="false">IF($W474="",0,IF(INDEX('Flow Curves'!$A$5:$A$11,$X474)=INDEX('Flow Curves'!$A$5:$A$11,$W474),$Y474,$Y474+($Z474-$Y474)*(MAX(10,MIN(150,$C474))-INDEX('Flow Curves'!$A$5:$A$11,$W474))/(INDEX('Flow Curves'!$A$5:$A$11,$X474)-INDEX('Flow Curves'!$A$5:$A$11,$W474))))</f>
        <v>0</v>
      </c>
      <c r="P474" s="20" t="n">
        <f aca="false">IF(OR($B474="Air",$B474="Open Blow"),$O474*60*Cost!$D$16*Cost!$D$17/Cost!$D$5*Cost!$D$13,0)</f>
        <v>0</v>
      </c>
      <c r="Q474" s="17"/>
      <c r="U474" s="16" t="str">
        <f aca="false">IF($D474="","",IF(ISNA(MATCH($B474,Cost!$H$5:$H$11,0)),"CHECK GAS TYPE",IF(OR($C474&lt;10,$C474&gt;150),"CHECK PRESSURE: outside 10-150 psi table",IF(OR($D474&lt;1,$D474&gt;120),"CHECK dB: outside 1-120 table",IF(ISNA(MATCH($C474,'Flow Curves'!$A$5:$A$11,0)),"INTERPOLATED between curves","Table curve")))))</f>
        <v/>
      </c>
      <c r="W474" s="2" t="str">
        <f aca="false">IF(OR($D474="",$C474=""),"",MATCH(MAX(10,MIN(150,$C474)),'Flow Curves'!$A$5:$A$11,1))</f>
        <v/>
      </c>
      <c r="X474" s="2" t="str">
        <f aca="false">IF($W474="","",MIN($W474+1,7))</f>
        <v/>
      </c>
      <c r="Y474" s="2" t="str">
        <f aca="false">IF($W474="","",INDEX('Flow Curves'!$B$5:$B$11,$W474)*POWER($D474,INDEX('Flow Curves'!$C$5:$C$11,$W474)))</f>
        <v/>
      </c>
      <c r="Z474" s="2" t="str">
        <f aca="false">IF($W474="","",INDEX('Flow Curves'!$B$5:$B$11,$X474)*POWER($D474,INDEX('Flow Curves'!$C$5:$C$11,$X474)))</f>
        <v/>
      </c>
    </row>
    <row r="475" customFormat="false" ht="15" hidden="false" customHeight="false" outlineLevel="0" collapsed="false">
      <c r="A475" s="16" t="n">
        <v>468</v>
      </c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8" t="n">
        <f aca="false">IF($O475=0,0,$O475*60*Cost!$D$16*Cost!$D$17*IFERROR(INDEX(Cost!$I$5:$I$11,MATCH($B475,Cost!$H$5:$H$11,0)),0)/Cost!$D$5)</f>
        <v>0</v>
      </c>
      <c r="O475" s="19" t="n">
        <f aca="false">IF($W475="",0,IF(INDEX('Flow Curves'!$A$5:$A$11,$X475)=INDEX('Flow Curves'!$A$5:$A$11,$W475),$Y475,$Y475+($Z475-$Y475)*(MAX(10,MIN(150,$C475))-INDEX('Flow Curves'!$A$5:$A$11,$W475))/(INDEX('Flow Curves'!$A$5:$A$11,$X475)-INDEX('Flow Curves'!$A$5:$A$11,$W475))))</f>
        <v>0</v>
      </c>
      <c r="P475" s="20" t="n">
        <f aca="false">IF(OR($B475="Air",$B475="Open Blow"),$O475*60*Cost!$D$16*Cost!$D$17/Cost!$D$5*Cost!$D$13,0)</f>
        <v>0</v>
      </c>
      <c r="Q475" s="17"/>
      <c r="U475" s="16" t="str">
        <f aca="false">IF($D475="","",IF(ISNA(MATCH($B475,Cost!$H$5:$H$11,0)),"CHECK GAS TYPE",IF(OR($C475&lt;10,$C475&gt;150),"CHECK PRESSURE: outside 10-150 psi table",IF(OR($D475&lt;1,$D475&gt;120),"CHECK dB: outside 1-120 table",IF(ISNA(MATCH($C475,'Flow Curves'!$A$5:$A$11,0)),"INTERPOLATED between curves","Table curve")))))</f>
        <v/>
      </c>
      <c r="W475" s="2" t="str">
        <f aca="false">IF(OR($D475="",$C475=""),"",MATCH(MAX(10,MIN(150,$C475)),'Flow Curves'!$A$5:$A$11,1))</f>
        <v/>
      </c>
      <c r="X475" s="2" t="str">
        <f aca="false">IF($W475="","",MIN($W475+1,7))</f>
        <v/>
      </c>
      <c r="Y475" s="2" t="str">
        <f aca="false">IF($W475="","",INDEX('Flow Curves'!$B$5:$B$11,$W475)*POWER($D475,INDEX('Flow Curves'!$C$5:$C$11,$W475)))</f>
        <v/>
      </c>
      <c r="Z475" s="2" t="str">
        <f aca="false">IF($W475="","",INDEX('Flow Curves'!$B$5:$B$11,$X475)*POWER($D475,INDEX('Flow Curves'!$C$5:$C$11,$X475)))</f>
        <v/>
      </c>
    </row>
    <row r="476" customFormat="false" ht="15" hidden="false" customHeight="false" outlineLevel="0" collapsed="false">
      <c r="A476" s="16" t="n">
        <v>469</v>
      </c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8" t="n">
        <f aca="false">IF($O476=0,0,$O476*60*Cost!$D$16*Cost!$D$17*IFERROR(INDEX(Cost!$I$5:$I$11,MATCH($B476,Cost!$H$5:$H$11,0)),0)/Cost!$D$5)</f>
        <v>0</v>
      </c>
      <c r="O476" s="19" t="n">
        <f aca="false">IF($W476="",0,IF(INDEX('Flow Curves'!$A$5:$A$11,$X476)=INDEX('Flow Curves'!$A$5:$A$11,$W476),$Y476,$Y476+($Z476-$Y476)*(MAX(10,MIN(150,$C476))-INDEX('Flow Curves'!$A$5:$A$11,$W476))/(INDEX('Flow Curves'!$A$5:$A$11,$X476)-INDEX('Flow Curves'!$A$5:$A$11,$W476))))</f>
        <v>0</v>
      </c>
      <c r="P476" s="20" t="n">
        <f aca="false">IF(OR($B476="Air",$B476="Open Blow"),$O476*60*Cost!$D$16*Cost!$D$17/Cost!$D$5*Cost!$D$13,0)</f>
        <v>0</v>
      </c>
      <c r="Q476" s="17"/>
      <c r="U476" s="16" t="str">
        <f aca="false">IF($D476="","",IF(ISNA(MATCH($B476,Cost!$H$5:$H$11,0)),"CHECK GAS TYPE",IF(OR($C476&lt;10,$C476&gt;150),"CHECK PRESSURE: outside 10-150 psi table",IF(OR($D476&lt;1,$D476&gt;120),"CHECK dB: outside 1-120 table",IF(ISNA(MATCH($C476,'Flow Curves'!$A$5:$A$11,0)),"INTERPOLATED between curves","Table curve")))))</f>
        <v/>
      </c>
      <c r="W476" s="2" t="str">
        <f aca="false">IF(OR($D476="",$C476=""),"",MATCH(MAX(10,MIN(150,$C476)),'Flow Curves'!$A$5:$A$11,1))</f>
        <v/>
      </c>
      <c r="X476" s="2" t="str">
        <f aca="false">IF($W476="","",MIN($W476+1,7))</f>
        <v/>
      </c>
      <c r="Y476" s="2" t="str">
        <f aca="false">IF($W476="","",INDEX('Flow Curves'!$B$5:$B$11,$W476)*POWER($D476,INDEX('Flow Curves'!$C$5:$C$11,$W476)))</f>
        <v/>
      </c>
      <c r="Z476" s="2" t="str">
        <f aca="false">IF($W476="","",INDEX('Flow Curves'!$B$5:$B$11,$X476)*POWER($D476,INDEX('Flow Curves'!$C$5:$C$11,$X476)))</f>
        <v/>
      </c>
    </row>
    <row r="477" customFormat="false" ht="15" hidden="false" customHeight="false" outlineLevel="0" collapsed="false">
      <c r="A477" s="16" t="n">
        <v>470</v>
      </c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8" t="n">
        <f aca="false">IF($O477=0,0,$O477*60*Cost!$D$16*Cost!$D$17*IFERROR(INDEX(Cost!$I$5:$I$11,MATCH($B477,Cost!$H$5:$H$11,0)),0)/Cost!$D$5)</f>
        <v>0</v>
      </c>
      <c r="O477" s="19" t="n">
        <f aca="false">IF($W477="",0,IF(INDEX('Flow Curves'!$A$5:$A$11,$X477)=INDEX('Flow Curves'!$A$5:$A$11,$W477),$Y477,$Y477+($Z477-$Y477)*(MAX(10,MIN(150,$C477))-INDEX('Flow Curves'!$A$5:$A$11,$W477))/(INDEX('Flow Curves'!$A$5:$A$11,$X477)-INDEX('Flow Curves'!$A$5:$A$11,$W477))))</f>
        <v>0</v>
      </c>
      <c r="P477" s="20" t="n">
        <f aca="false">IF(OR($B477="Air",$B477="Open Blow"),$O477*60*Cost!$D$16*Cost!$D$17/Cost!$D$5*Cost!$D$13,0)</f>
        <v>0</v>
      </c>
      <c r="Q477" s="17"/>
      <c r="U477" s="16" t="str">
        <f aca="false">IF($D477="","",IF(ISNA(MATCH($B477,Cost!$H$5:$H$11,0)),"CHECK GAS TYPE",IF(OR($C477&lt;10,$C477&gt;150),"CHECK PRESSURE: outside 10-150 psi table",IF(OR($D477&lt;1,$D477&gt;120),"CHECK dB: outside 1-120 table",IF(ISNA(MATCH($C477,'Flow Curves'!$A$5:$A$11,0)),"INTERPOLATED between curves","Table curve")))))</f>
        <v/>
      </c>
      <c r="W477" s="2" t="str">
        <f aca="false">IF(OR($D477="",$C477=""),"",MATCH(MAX(10,MIN(150,$C477)),'Flow Curves'!$A$5:$A$11,1))</f>
        <v/>
      </c>
      <c r="X477" s="2" t="str">
        <f aca="false">IF($W477="","",MIN($W477+1,7))</f>
        <v/>
      </c>
      <c r="Y477" s="2" t="str">
        <f aca="false">IF($W477="","",INDEX('Flow Curves'!$B$5:$B$11,$W477)*POWER($D477,INDEX('Flow Curves'!$C$5:$C$11,$W477)))</f>
        <v/>
      </c>
      <c r="Z477" s="2" t="str">
        <f aca="false">IF($W477="","",INDEX('Flow Curves'!$B$5:$B$11,$X477)*POWER($D477,INDEX('Flow Curves'!$C$5:$C$11,$X477)))</f>
        <v/>
      </c>
    </row>
    <row r="478" customFormat="false" ht="15" hidden="false" customHeight="false" outlineLevel="0" collapsed="false">
      <c r="A478" s="16" t="n">
        <v>471</v>
      </c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8" t="n">
        <f aca="false">IF($O478=0,0,$O478*60*Cost!$D$16*Cost!$D$17*IFERROR(INDEX(Cost!$I$5:$I$11,MATCH($B478,Cost!$H$5:$H$11,0)),0)/Cost!$D$5)</f>
        <v>0</v>
      </c>
      <c r="O478" s="19" t="n">
        <f aca="false">IF($W478="",0,IF(INDEX('Flow Curves'!$A$5:$A$11,$X478)=INDEX('Flow Curves'!$A$5:$A$11,$W478),$Y478,$Y478+($Z478-$Y478)*(MAX(10,MIN(150,$C478))-INDEX('Flow Curves'!$A$5:$A$11,$W478))/(INDEX('Flow Curves'!$A$5:$A$11,$X478)-INDEX('Flow Curves'!$A$5:$A$11,$W478))))</f>
        <v>0</v>
      </c>
      <c r="P478" s="20" t="n">
        <f aca="false">IF(OR($B478="Air",$B478="Open Blow"),$O478*60*Cost!$D$16*Cost!$D$17/Cost!$D$5*Cost!$D$13,0)</f>
        <v>0</v>
      </c>
      <c r="Q478" s="17"/>
      <c r="U478" s="16" t="str">
        <f aca="false">IF($D478="","",IF(ISNA(MATCH($B478,Cost!$H$5:$H$11,0)),"CHECK GAS TYPE",IF(OR($C478&lt;10,$C478&gt;150),"CHECK PRESSURE: outside 10-150 psi table",IF(OR($D478&lt;1,$D478&gt;120),"CHECK dB: outside 1-120 table",IF(ISNA(MATCH($C478,'Flow Curves'!$A$5:$A$11,0)),"INTERPOLATED between curves","Table curve")))))</f>
        <v/>
      </c>
      <c r="W478" s="2" t="str">
        <f aca="false">IF(OR($D478="",$C478=""),"",MATCH(MAX(10,MIN(150,$C478)),'Flow Curves'!$A$5:$A$11,1))</f>
        <v/>
      </c>
      <c r="X478" s="2" t="str">
        <f aca="false">IF($W478="","",MIN($W478+1,7))</f>
        <v/>
      </c>
      <c r="Y478" s="2" t="str">
        <f aca="false">IF($W478="","",INDEX('Flow Curves'!$B$5:$B$11,$W478)*POWER($D478,INDEX('Flow Curves'!$C$5:$C$11,$W478)))</f>
        <v/>
      </c>
      <c r="Z478" s="2" t="str">
        <f aca="false">IF($W478="","",INDEX('Flow Curves'!$B$5:$B$11,$X478)*POWER($D478,INDEX('Flow Curves'!$C$5:$C$11,$X478)))</f>
        <v/>
      </c>
    </row>
    <row r="479" customFormat="false" ht="15" hidden="false" customHeight="false" outlineLevel="0" collapsed="false">
      <c r="A479" s="16" t="n">
        <v>472</v>
      </c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8" t="n">
        <f aca="false">IF($O479=0,0,$O479*60*Cost!$D$16*Cost!$D$17*IFERROR(INDEX(Cost!$I$5:$I$11,MATCH($B479,Cost!$H$5:$H$11,0)),0)/Cost!$D$5)</f>
        <v>0</v>
      </c>
      <c r="O479" s="19" t="n">
        <f aca="false">IF($W479="",0,IF(INDEX('Flow Curves'!$A$5:$A$11,$X479)=INDEX('Flow Curves'!$A$5:$A$11,$W479),$Y479,$Y479+($Z479-$Y479)*(MAX(10,MIN(150,$C479))-INDEX('Flow Curves'!$A$5:$A$11,$W479))/(INDEX('Flow Curves'!$A$5:$A$11,$X479)-INDEX('Flow Curves'!$A$5:$A$11,$W479))))</f>
        <v>0</v>
      </c>
      <c r="P479" s="20" t="n">
        <f aca="false">IF(OR($B479="Air",$B479="Open Blow"),$O479*60*Cost!$D$16*Cost!$D$17/Cost!$D$5*Cost!$D$13,0)</f>
        <v>0</v>
      </c>
      <c r="Q479" s="17"/>
      <c r="U479" s="16" t="str">
        <f aca="false">IF($D479="","",IF(ISNA(MATCH($B479,Cost!$H$5:$H$11,0)),"CHECK GAS TYPE",IF(OR($C479&lt;10,$C479&gt;150),"CHECK PRESSURE: outside 10-150 psi table",IF(OR($D479&lt;1,$D479&gt;120),"CHECK dB: outside 1-120 table",IF(ISNA(MATCH($C479,'Flow Curves'!$A$5:$A$11,0)),"INTERPOLATED between curves","Table curve")))))</f>
        <v/>
      </c>
      <c r="W479" s="2" t="str">
        <f aca="false">IF(OR($D479="",$C479=""),"",MATCH(MAX(10,MIN(150,$C479)),'Flow Curves'!$A$5:$A$11,1))</f>
        <v/>
      </c>
      <c r="X479" s="2" t="str">
        <f aca="false">IF($W479="","",MIN($W479+1,7))</f>
        <v/>
      </c>
      <c r="Y479" s="2" t="str">
        <f aca="false">IF($W479="","",INDEX('Flow Curves'!$B$5:$B$11,$W479)*POWER($D479,INDEX('Flow Curves'!$C$5:$C$11,$W479)))</f>
        <v/>
      </c>
      <c r="Z479" s="2" t="str">
        <f aca="false">IF($W479="","",INDEX('Flow Curves'!$B$5:$B$11,$X479)*POWER($D479,INDEX('Flow Curves'!$C$5:$C$11,$X479)))</f>
        <v/>
      </c>
    </row>
    <row r="480" customFormat="false" ht="15" hidden="false" customHeight="false" outlineLevel="0" collapsed="false">
      <c r="A480" s="16" t="n">
        <v>473</v>
      </c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8" t="n">
        <f aca="false">IF($O480=0,0,$O480*60*Cost!$D$16*Cost!$D$17*IFERROR(INDEX(Cost!$I$5:$I$11,MATCH($B480,Cost!$H$5:$H$11,0)),0)/Cost!$D$5)</f>
        <v>0</v>
      </c>
      <c r="O480" s="19" t="n">
        <f aca="false">IF($W480="",0,IF(INDEX('Flow Curves'!$A$5:$A$11,$X480)=INDEX('Flow Curves'!$A$5:$A$11,$W480),$Y480,$Y480+($Z480-$Y480)*(MAX(10,MIN(150,$C480))-INDEX('Flow Curves'!$A$5:$A$11,$W480))/(INDEX('Flow Curves'!$A$5:$A$11,$X480)-INDEX('Flow Curves'!$A$5:$A$11,$W480))))</f>
        <v>0</v>
      </c>
      <c r="P480" s="20" t="n">
        <f aca="false">IF(OR($B480="Air",$B480="Open Blow"),$O480*60*Cost!$D$16*Cost!$D$17/Cost!$D$5*Cost!$D$13,0)</f>
        <v>0</v>
      </c>
      <c r="Q480" s="17"/>
      <c r="U480" s="16" t="str">
        <f aca="false">IF($D480="","",IF(ISNA(MATCH($B480,Cost!$H$5:$H$11,0)),"CHECK GAS TYPE",IF(OR($C480&lt;10,$C480&gt;150),"CHECK PRESSURE: outside 10-150 psi table",IF(OR($D480&lt;1,$D480&gt;120),"CHECK dB: outside 1-120 table",IF(ISNA(MATCH($C480,'Flow Curves'!$A$5:$A$11,0)),"INTERPOLATED between curves","Table curve")))))</f>
        <v/>
      </c>
      <c r="W480" s="2" t="str">
        <f aca="false">IF(OR($D480="",$C480=""),"",MATCH(MAX(10,MIN(150,$C480)),'Flow Curves'!$A$5:$A$11,1))</f>
        <v/>
      </c>
      <c r="X480" s="2" t="str">
        <f aca="false">IF($W480="","",MIN($W480+1,7))</f>
        <v/>
      </c>
      <c r="Y480" s="2" t="str">
        <f aca="false">IF($W480="","",INDEX('Flow Curves'!$B$5:$B$11,$W480)*POWER($D480,INDEX('Flow Curves'!$C$5:$C$11,$W480)))</f>
        <v/>
      </c>
      <c r="Z480" s="2" t="str">
        <f aca="false">IF($W480="","",INDEX('Flow Curves'!$B$5:$B$11,$X480)*POWER($D480,INDEX('Flow Curves'!$C$5:$C$11,$X480)))</f>
        <v/>
      </c>
    </row>
    <row r="481" customFormat="false" ht="15" hidden="false" customHeight="false" outlineLevel="0" collapsed="false">
      <c r="A481" s="16" t="n">
        <v>474</v>
      </c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8" t="n">
        <f aca="false">IF($O481=0,0,$O481*60*Cost!$D$16*Cost!$D$17*IFERROR(INDEX(Cost!$I$5:$I$11,MATCH($B481,Cost!$H$5:$H$11,0)),0)/Cost!$D$5)</f>
        <v>0</v>
      </c>
      <c r="O481" s="19" t="n">
        <f aca="false">IF($W481="",0,IF(INDEX('Flow Curves'!$A$5:$A$11,$X481)=INDEX('Flow Curves'!$A$5:$A$11,$W481),$Y481,$Y481+($Z481-$Y481)*(MAX(10,MIN(150,$C481))-INDEX('Flow Curves'!$A$5:$A$11,$W481))/(INDEX('Flow Curves'!$A$5:$A$11,$X481)-INDEX('Flow Curves'!$A$5:$A$11,$W481))))</f>
        <v>0</v>
      </c>
      <c r="P481" s="20" t="n">
        <f aca="false">IF(OR($B481="Air",$B481="Open Blow"),$O481*60*Cost!$D$16*Cost!$D$17/Cost!$D$5*Cost!$D$13,0)</f>
        <v>0</v>
      </c>
      <c r="Q481" s="17"/>
      <c r="U481" s="16" t="str">
        <f aca="false">IF($D481="","",IF(ISNA(MATCH($B481,Cost!$H$5:$H$11,0)),"CHECK GAS TYPE",IF(OR($C481&lt;10,$C481&gt;150),"CHECK PRESSURE: outside 10-150 psi table",IF(OR($D481&lt;1,$D481&gt;120),"CHECK dB: outside 1-120 table",IF(ISNA(MATCH($C481,'Flow Curves'!$A$5:$A$11,0)),"INTERPOLATED between curves","Table curve")))))</f>
        <v/>
      </c>
      <c r="W481" s="2" t="str">
        <f aca="false">IF(OR($D481="",$C481=""),"",MATCH(MAX(10,MIN(150,$C481)),'Flow Curves'!$A$5:$A$11,1))</f>
        <v/>
      </c>
      <c r="X481" s="2" t="str">
        <f aca="false">IF($W481="","",MIN($W481+1,7))</f>
        <v/>
      </c>
      <c r="Y481" s="2" t="str">
        <f aca="false">IF($W481="","",INDEX('Flow Curves'!$B$5:$B$11,$W481)*POWER($D481,INDEX('Flow Curves'!$C$5:$C$11,$W481)))</f>
        <v/>
      </c>
      <c r="Z481" s="2" t="str">
        <f aca="false">IF($W481="","",INDEX('Flow Curves'!$B$5:$B$11,$X481)*POWER($D481,INDEX('Flow Curves'!$C$5:$C$11,$X481)))</f>
        <v/>
      </c>
    </row>
    <row r="482" customFormat="false" ht="15" hidden="false" customHeight="false" outlineLevel="0" collapsed="false">
      <c r="A482" s="16" t="n">
        <v>475</v>
      </c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8" t="n">
        <f aca="false">IF($O482=0,0,$O482*60*Cost!$D$16*Cost!$D$17*IFERROR(INDEX(Cost!$I$5:$I$11,MATCH($B482,Cost!$H$5:$H$11,0)),0)/Cost!$D$5)</f>
        <v>0</v>
      </c>
      <c r="O482" s="19" t="n">
        <f aca="false">IF($W482="",0,IF(INDEX('Flow Curves'!$A$5:$A$11,$X482)=INDEX('Flow Curves'!$A$5:$A$11,$W482),$Y482,$Y482+($Z482-$Y482)*(MAX(10,MIN(150,$C482))-INDEX('Flow Curves'!$A$5:$A$11,$W482))/(INDEX('Flow Curves'!$A$5:$A$11,$X482)-INDEX('Flow Curves'!$A$5:$A$11,$W482))))</f>
        <v>0</v>
      </c>
      <c r="P482" s="20" t="n">
        <f aca="false">IF(OR($B482="Air",$B482="Open Blow"),$O482*60*Cost!$D$16*Cost!$D$17/Cost!$D$5*Cost!$D$13,0)</f>
        <v>0</v>
      </c>
      <c r="Q482" s="17"/>
      <c r="U482" s="16" t="str">
        <f aca="false">IF($D482="","",IF(ISNA(MATCH($B482,Cost!$H$5:$H$11,0)),"CHECK GAS TYPE",IF(OR($C482&lt;10,$C482&gt;150),"CHECK PRESSURE: outside 10-150 psi table",IF(OR($D482&lt;1,$D482&gt;120),"CHECK dB: outside 1-120 table",IF(ISNA(MATCH($C482,'Flow Curves'!$A$5:$A$11,0)),"INTERPOLATED between curves","Table curve")))))</f>
        <v/>
      </c>
      <c r="W482" s="2" t="str">
        <f aca="false">IF(OR($D482="",$C482=""),"",MATCH(MAX(10,MIN(150,$C482)),'Flow Curves'!$A$5:$A$11,1))</f>
        <v/>
      </c>
      <c r="X482" s="2" t="str">
        <f aca="false">IF($W482="","",MIN($W482+1,7))</f>
        <v/>
      </c>
      <c r="Y482" s="2" t="str">
        <f aca="false">IF($W482="","",INDEX('Flow Curves'!$B$5:$B$11,$W482)*POWER($D482,INDEX('Flow Curves'!$C$5:$C$11,$W482)))</f>
        <v/>
      </c>
      <c r="Z482" s="2" t="str">
        <f aca="false">IF($W482="","",INDEX('Flow Curves'!$B$5:$B$11,$X482)*POWER($D482,INDEX('Flow Curves'!$C$5:$C$11,$X482)))</f>
        <v/>
      </c>
    </row>
    <row r="483" customFormat="false" ht="15" hidden="false" customHeight="false" outlineLevel="0" collapsed="false">
      <c r="A483" s="16" t="n">
        <v>476</v>
      </c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8" t="n">
        <f aca="false">IF($O483=0,0,$O483*60*Cost!$D$16*Cost!$D$17*IFERROR(INDEX(Cost!$I$5:$I$11,MATCH($B483,Cost!$H$5:$H$11,0)),0)/Cost!$D$5)</f>
        <v>0</v>
      </c>
      <c r="O483" s="19" t="n">
        <f aca="false">IF($W483="",0,IF(INDEX('Flow Curves'!$A$5:$A$11,$X483)=INDEX('Flow Curves'!$A$5:$A$11,$W483),$Y483,$Y483+($Z483-$Y483)*(MAX(10,MIN(150,$C483))-INDEX('Flow Curves'!$A$5:$A$11,$W483))/(INDEX('Flow Curves'!$A$5:$A$11,$X483)-INDEX('Flow Curves'!$A$5:$A$11,$W483))))</f>
        <v>0</v>
      </c>
      <c r="P483" s="20" t="n">
        <f aca="false">IF(OR($B483="Air",$B483="Open Blow"),$O483*60*Cost!$D$16*Cost!$D$17/Cost!$D$5*Cost!$D$13,0)</f>
        <v>0</v>
      </c>
      <c r="Q483" s="17"/>
      <c r="U483" s="16" t="str">
        <f aca="false">IF($D483="","",IF(ISNA(MATCH($B483,Cost!$H$5:$H$11,0)),"CHECK GAS TYPE",IF(OR($C483&lt;10,$C483&gt;150),"CHECK PRESSURE: outside 10-150 psi table",IF(OR($D483&lt;1,$D483&gt;120),"CHECK dB: outside 1-120 table",IF(ISNA(MATCH($C483,'Flow Curves'!$A$5:$A$11,0)),"INTERPOLATED between curves","Table curve")))))</f>
        <v/>
      </c>
      <c r="W483" s="2" t="str">
        <f aca="false">IF(OR($D483="",$C483=""),"",MATCH(MAX(10,MIN(150,$C483)),'Flow Curves'!$A$5:$A$11,1))</f>
        <v/>
      </c>
      <c r="X483" s="2" t="str">
        <f aca="false">IF($W483="","",MIN($W483+1,7))</f>
        <v/>
      </c>
      <c r="Y483" s="2" t="str">
        <f aca="false">IF($W483="","",INDEX('Flow Curves'!$B$5:$B$11,$W483)*POWER($D483,INDEX('Flow Curves'!$C$5:$C$11,$W483)))</f>
        <v/>
      </c>
      <c r="Z483" s="2" t="str">
        <f aca="false">IF($W483="","",INDEX('Flow Curves'!$B$5:$B$11,$X483)*POWER($D483,INDEX('Flow Curves'!$C$5:$C$11,$X483)))</f>
        <v/>
      </c>
    </row>
    <row r="484" customFormat="false" ht="15" hidden="false" customHeight="false" outlineLevel="0" collapsed="false">
      <c r="A484" s="16" t="n">
        <v>477</v>
      </c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8" t="n">
        <f aca="false">IF($O484=0,0,$O484*60*Cost!$D$16*Cost!$D$17*IFERROR(INDEX(Cost!$I$5:$I$11,MATCH($B484,Cost!$H$5:$H$11,0)),0)/Cost!$D$5)</f>
        <v>0</v>
      </c>
      <c r="O484" s="19" t="n">
        <f aca="false">IF($W484="",0,IF(INDEX('Flow Curves'!$A$5:$A$11,$X484)=INDEX('Flow Curves'!$A$5:$A$11,$W484),$Y484,$Y484+($Z484-$Y484)*(MAX(10,MIN(150,$C484))-INDEX('Flow Curves'!$A$5:$A$11,$W484))/(INDEX('Flow Curves'!$A$5:$A$11,$X484)-INDEX('Flow Curves'!$A$5:$A$11,$W484))))</f>
        <v>0</v>
      </c>
      <c r="P484" s="20" t="n">
        <f aca="false">IF(OR($B484="Air",$B484="Open Blow"),$O484*60*Cost!$D$16*Cost!$D$17/Cost!$D$5*Cost!$D$13,0)</f>
        <v>0</v>
      </c>
      <c r="Q484" s="17"/>
      <c r="U484" s="16" t="str">
        <f aca="false">IF($D484="","",IF(ISNA(MATCH($B484,Cost!$H$5:$H$11,0)),"CHECK GAS TYPE",IF(OR($C484&lt;10,$C484&gt;150),"CHECK PRESSURE: outside 10-150 psi table",IF(OR($D484&lt;1,$D484&gt;120),"CHECK dB: outside 1-120 table",IF(ISNA(MATCH($C484,'Flow Curves'!$A$5:$A$11,0)),"INTERPOLATED between curves","Table curve")))))</f>
        <v/>
      </c>
      <c r="W484" s="2" t="str">
        <f aca="false">IF(OR($D484="",$C484=""),"",MATCH(MAX(10,MIN(150,$C484)),'Flow Curves'!$A$5:$A$11,1))</f>
        <v/>
      </c>
      <c r="X484" s="2" t="str">
        <f aca="false">IF($W484="","",MIN($W484+1,7))</f>
        <v/>
      </c>
      <c r="Y484" s="2" t="str">
        <f aca="false">IF($W484="","",INDEX('Flow Curves'!$B$5:$B$11,$W484)*POWER($D484,INDEX('Flow Curves'!$C$5:$C$11,$W484)))</f>
        <v/>
      </c>
      <c r="Z484" s="2" t="str">
        <f aca="false">IF($W484="","",INDEX('Flow Curves'!$B$5:$B$11,$X484)*POWER($D484,INDEX('Flow Curves'!$C$5:$C$11,$X484)))</f>
        <v/>
      </c>
    </row>
    <row r="485" customFormat="false" ht="15" hidden="false" customHeight="false" outlineLevel="0" collapsed="false">
      <c r="A485" s="16" t="n">
        <v>478</v>
      </c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8" t="n">
        <f aca="false">IF($O485=0,0,$O485*60*Cost!$D$16*Cost!$D$17*IFERROR(INDEX(Cost!$I$5:$I$11,MATCH($B485,Cost!$H$5:$H$11,0)),0)/Cost!$D$5)</f>
        <v>0</v>
      </c>
      <c r="O485" s="19" t="n">
        <f aca="false">IF($W485="",0,IF(INDEX('Flow Curves'!$A$5:$A$11,$X485)=INDEX('Flow Curves'!$A$5:$A$11,$W485),$Y485,$Y485+($Z485-$Y485)*(MAX(10,MIN(150,$C485))-INDEX('Flow Curves'!$A$5:$A$11,$W485))/(INDEX('Flow Curves'!$A$5:$A$11,$X485)-INDEX('Flow Curves'!$A$5:$A$11,$W485))))</f>
        <v>0</v>
      </c>
      <c r="P485" s="20" t="n">
        <f aca="false">IF(OR($B485="Air",$B485="Open Blow"),$O485*60*Cost!$D$16*Cost!$D$17/Cost!$D$5*Cost!$D$13,0)</f>
        <v>0</v>
      </c>
      <c r="Q485" s="17"/>
      <c r="U485" s="16" t="str">
        <f aca="false">IF($D485="","",IF(ISNA(MATCH($B485,Cost!$H$5:$H$11,0)),"CHECK GAS TYPE",IF(OR($C485&lt;10,$C485&gt;150),"CHECK PRESSURE: outside 10-150 psi table",IF(OR($D485&lt;1,$D485&gt;120),"CHECK dB: outside 1-120 table",IF(ISNA(MATCH($C485,'Flow Curves'!$A$5:$A$11,0)),"INTERPOLATED between curves","Table curve")))))</f>
        <v/>
      </c>
      <c r="W485" s="2" t="str">
        <f aca="false">IF(OR($D485="",$C485=""),"",MATCH(MAX(10,MIN(150,$C485)),'Flow Curves'!$A$5:$A$11,1))</f>
        <v/>
      </c>
      <c r="X485" s="2" t="str">
        <f aca="false">IF($W485="","",MIN($W485+1,7))</f>
        <v/>
      </c>
      <c r="Y485" s="2" t="str">
        <f aca="false">IF($W485="","",INDEX('Flow Curves'!$B$5:$B$11,$W485)*POWER($D485,INDEX('Flow Curves'!$C$5:$C$11,$W485)))</f>
        <v/>
      </c>
      <c r="Z485" s="2" t="str">
        <f aca="false">IF($W485="","",INDEX('Flow Curves'!$B$5:$B$11,$X485)*POWER($D485,INDEX('Flow Curves'!$C$5:$C$11,$X485)))</f>
        <v/>
      </c>
    </row>
    <row r="486" customFormat="false" ht="15" hidden="false" customHeight="false" outlineLevel="0" collapsed="false">
      <c r="A486" s="16" t="n">
        <v>479</v>
      </c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8" t="n">
        <f aca="false">IF($O486=0,0,$O486*60*Cost!$D$16*Cost!$D$17*IFERROR(INDEX(Cost!$I$5:$I$11,MATCH($B486,Cost!$H$5:$H$11,0)),0)/Cost!$D$5)</f>
        <v>0</v>
      </c>
      <c r="O486" s="19" t="n">
        <f aca="false">IF($W486="",0,IF(INDEX('Flow Curves'!$A$5:$A$11,$X486)=INDEX('Flow Curves'!$A$5:$A$11,$W486),$Y486,$Y486+($Z486-$Y486)*(MAX(10,MIN(150,$C486))-INDEX('Flow Curves'!$A$5:$A$11,$W486))/(INDEX('Flow Curves'!$A$5:$A$11,$X486)-INDEX('Flow Curves'!$A$5:$A$11,$W486))))</f>
        <v>0</v>
      </c>
      <c r="P486" s="20" t="n">
        <f aca="false">IF(OR($B486="Air",$B486="Open Blow"),$O486*60*Cost!$D$16*Cost!$D$17/Cost!$D$5*Cost!$D$13,0)</f>
        <v>0</v>
      </c>
      <c r="Q486" s="17"/>
      <c r="U486" s="16" t="str">
        <f aca="false">IF($D486="","",IF(ISNA(MATCH($B486,Cost!$H$5:$H$11,0)),"CHECK GAS TYPE",IF(OR($C486&lt;10,$C486&gt;150),"CHECK PRESSURE: outside 10-150 psi table",IF(OR($D486&lt;1,$D486&gt;120),"CHECK dB: outside 1-120 table",IF(ISNA(MATCH($C486,'Flow Curves'!$A$5:$A$11,0)),"INTERPOLATED between curves","Table curve")))))</f>
        <v/>
      </c>
      <c r="W486" s="2" t="str">
        <f aca="false">IF(OR($D486="",$C486=""),"",MATCH(MAX(10,MIN(150,$C486)),'Flow Curves'!$A$5:$A$11,1))</f>
        <v/>
      </c>
      <c r="X486" s="2" t="str">
        <f aca="false">IF($W486="","",MIN($W486+1,7))</f>
        <v/>
      </c>
      <c r="Y486" s="2" t="str">
        <f aca="false">IF($W486="","",INDEX('Flow Curves'!$B$5:$B$11,$W486)*POWER($D486,INDEX('Flow Curves'!$C$5:$C$11,$W486)))</f>
        <v/>
      </c>
      <c r="Z486" s="2" t="str">
        <f aca="false">IF($W486="","",INDEX('Flow Curves'!$B$5:$B$11,$X486)*POWER($D486,INDEX('Flow Curves'!$C$5:$C$11,$X486)))</f>
        <v/>
      </c>
    </row>
    <row r="487" customFormat="false" ht="15" hidden="false" customHeight="false" outlineLevel="0" collapsed="false">
      <c r="A487" s="16" t="n">
        <v>480</v>
      </c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8" t="n">
        <f aca="false">IF($O487=0,0,$O487*60*Cost!$D$16*Cost!$D$17*IFERROR(INDEX(Cost!$I$5:$I$11,MATCH($B487,Cost!$H$5:$H$11,0)),0)/Cost!$D$5)</f>
        <v>0</v>
      </c>
      <c r="O487" s="19" t="n">
        <f aca="false">IF($W487="",0,IF(INDEX('Flow Curves'!$A$5:$A$11,$X487)=INDEX('Flow Curves'!$A$5:$A$11,$W487),$Y487,$Y487+($Z487-$Y487)*(MAX(10,MIN(150,$C487))-INDEX('Flow Curves'!$A$5:$A$11,$W487))/(INDEX('Flow Curves'!$A$5:$A$11,$X487)-INDEX('Flow Curves'!$A$5:$A$11,$W487))))</f>
        <v>0</v>
      </c>
      <c r="P487" s="20" t="n">
        <f aca="false">IF(OR($B487="Air",$B487="Open Blow"),$O487*60*Cost!$D$16*Cost!$D$17/Cost!$D$5*Cost!$D$13,0)</f>
        <v>0</v>
      </c>
      <c r="Q487" s="17"/>
      <c r="U487" s="16" t="str">
        <f aca="false">IF($D487="","",IF(ISNA(MATCH($B487,Cost!$H$5:$H$11,0)),"CHECK GAS TYPE",IF(OR($C487&lt;10,$C487&gt;150),"CHECK PRESSURE: outside 10-150 psi table",IF(OR($D487&lt;1,$D487&gt;120),"CHECK dB: outside 1-120 table",IF(ISNA(MATCH($C487,'Flow Curves'!$A$5:$A$11,0)),"INTERPOLATED between curves","Table curve")))))</f>
        <v/>
      </c>
      <c r="W487" s="2" t="str">
        <f aca="false">IF(OR($D487="",$C487=""),"",MATCH(MAX(10,MIN(150,$C487)),'Flow Curves'!$A$5:$A$11,1))</f>
        <v/>
      </c>
      <c r="X487" s="2" t="str">
        <f aca="false">IF($W487="","",MIN($W487+1,7))</f>
        <v/>
      </c>
      <c r="Y487" s="2" t="str">
        <f aca="false">IF($W487="","",INDEX('Flow Curves'!$B$5:$B$11,$W487)*POWER($D487,INDEX('Flow Curves'!$C$5:$C$11,$W487)))</f>
        <v/>
      </c>
      <c r="Z487" s="2" t="str">
        <f aca="false">IF($W487="","",INDEX('Flow Curves'!$B$5:$B$11,$X487)*POWER($D487,INDEX('Flow Curves'!$C$5:$C$11,$X487)))</f>
        <v/>
      </c>
    </row>
    <row r="488" customFormat="false" ht="15" hidden="false" customHeight="false" outlineLevel="0" collapsed="false">
      <c r="A488" s="16" t="n">
        <v>481</v>
      </c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8" t="n">
        <f aca="false">IF($O488=0,0,$O488*60*Cost!$D$16*Cost!$D$17*IFERROR(INDEX(Cost!$I$5:$I$11,MATCH($B488,Cost!$H$5:$H$11,0)),0)/Cost!$D$5)</f>
        <v>0</v>
      </c>
      <c r="O488" s="19" t="n">
        <f aca="false">IF($W488="",0,IF(INDEX('Flow Curves'!$A$5:$A$11,$X488)=INDEX('Flow Curves'!$A$5:$A$11,$W488),$Y488,$Y488+($Z488-$Y488)*(MAX(10,MIN(150,$C488))-INDEX('Flow Curves'!$A$5:$A$11,$W488))/(INDEX('Flow Curves'!$A$5:$A$11,$X488)-INDEX('Flow Curves'!$A$5:$A$11,$W488))))</f>
        <v>0</v>
      </c>
      <c r="P488" s="20" t="n">
        <f aca="false">IF(OR($B488="Air",$B488="Open Blow"),$O488*60*Cost!$D$16*Cost!$D$17/Cost!$D$5*Cost!$D$13,0)</f>
        <v>0</v>
      </c>
      <c r="Q488" s="17"/>
      <c r="U488" s="16" t="str">
        <f aca="false">IF($D488="","",IF(ISNA(MATCH($B488,Cost!$H$5:$H$11,0)),"CHECK GAS TYPE",IF(OR($C488&lt;10,$C488&gt;150),"CHECK PRESSURE: outside 10-150 psi table",IF(OR($D488&lt;1,$D488&gt;120),"CHECK dB: outside 1-120 table",IF(ISNA(MATCH($C488,'Flow Curves'!$A$5:$A$11,0)),"INTERPOLATED between curves","Table curve")))))</f>
        <v/>
      </c>
      <c r="W488" s="2" t="str">
        <f aca="false">IF(OR($D488="",$C488=""),"",MATCH(MAX(10,MIN(150,$C488)),'Flow Curves'!$A$5:$A$11,1))</f>
        <v/>
      </c>
      <c r="X488" s="2" t="str">
        <f aca="false">IF($W488="","",MIN($W488+1,7))</f>
        <v/>
      </c>
      <c r="Y488" s="2" t="str">
        <f aca="false">IF($W488="","",INDEX('Flow Curves'!$B$5:$B$11,$W488)*POWER($D488,INDEX('Flow Curves'!$C$5:$C$11,$W488)))</f>
        <v/>
      </c>
      <c r="Z488" s="2" t="str">
        <f aca="false">IF($W488="","",INDEX('Flow Curves'!$B$5:$B$11,$X488)*POWER($D488,INDEX('Flow Curves'!$C$5:$C$11,$X488)))</f>
        <v/>
      </c>
    </row>
    <row r="489" customFormat="false" ht="15" hidden="false" customHeight="false" outlineLevel="0" collapsed="false">
      <c r="A489" s="16" t="n">
        <v>482</v>
      </c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8" t="n">
        <f aca="false">IF($O489=0,0,$O489*60*Cost!$D$16*Cost!$D$17*IFERROR(INDEX(Cost!$I$5:$I$11,MATCH($B489,Cost!$H$5:$H$11,0)),0)/Cost!$D$5)</f>
        <v>0</v>
      </c>
      <c r="O489" s="19" t="n">
        <f aca="false">IF($W489="",0,IF(INDEX('Flow Curves'!$A$5:$A$11,$X489)=INDEX('Flow Curves'!$A$5:$A$11,$W489),$Y489,$Y489+($Z489-$Y489)*(MAX(10,MIN(150,$C489))-INDEX('Flow Curves'!$A$5:$A$11,$W489))/(INDEX('Flow Curves'!$A$5:$A$11,$X489)-INDEX('Flow Curves'!$A$5:$A$11,$W489))))</f>
        <v>0</v>
      </c>
      <c r="P489" s="20" t="n">
        <f aca="false">IF(OR($B489="Air",$B489="Open Blow"),$O489*60*Cost!$D$16*Cost!$D$17/Cost!$D$5*Cost!$D$13,0)</f>
        <v>0</v>
      </c>
      <c r="Q489" s="17"/>
      <c r="U489" s="16" t="str">
        <f aca="false">IF($D489="","",IF(ISNA(MATCH($B489,Cost!$H$5:$H$11,0)),"CHECK GAS TYPE",IF(OR($C489&lt;10,$C489&gt;150),"CHECK PRESSURE: outside 10-150 psi table",IF(OR($D489&lt;1,$D489&gt;120),"CHECK dB: outside 1-120 table",IF(ISNA(MATCH($C489,'Flow Curves'!$A$5:$A$11,0)),"INTERPOLATED between curves","Table curve")))))</f>
        <v/>
      </c>
      <c r="W489" s="2" t="str">
        <f aca="false">IF(OR($D489="",$C489=""),"",MATCH(MAX(10,MIN(150,$C489)),'Flow Curves'!$A$5:$A$11,1))</f>
        <v/>
      </c>
      <c r="X489" s="2" t="str">
        <f aca="false">IF($W489="","",MIN($W489+1,7))</f>
        <v/>
      </c>
      <c r="Y489" s="2" t="str">
        <f aca="false">IF($W489="","",INDEX('Flow Curves'!$B$5:$B$11,$W489)*POWER($D489,INDEX('Flow Curves'!$C$5:$C$11,$W489)))</f>
        <v/>
      </c>
      <c r="Z489" s="2" t="str">
        <f aca="false">IF($W489="","",INDEX('Flow Curves'!$B$5:$B$11,$X489)*POWER($D489,INDEX('Flow Curves'!$C$5:$C$11,$X489)))</f>
        <v/>
      </c>
    </row>
    <row r="490" customFormat="false" ht="15" hidden="false" customHeight="false" outlineLevel="0" collapsed="false">
      <c r="A490" s="16" t="n">
        <v>483</v>
      </c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8" t="n">
        <f aca="false">IF($O490=0,0,$O490*60*Cost!$D$16*Cost!$D$17*IFERROR(INDEX(Cost!$I$5:$I$11,MATCH($B490,Cost!$H$5:$H$11,0)),0)/Cost!$D$5)</f>
        <v>0</v>
      </c>
      <c r="O490" s="19" t="n">
        <f aca="false">IF($W490="",0,IF(INDEX('Flow Curves'!$A$5:$A$11,$X490)=INDEX('Flow Curves'!$A$5:$A$11,$W490),$Y490,$Y490+($Z490-$Y490)*(MAX(10,MIN(150,$C490))-INDEX('Flow Curves'!$A$5:$A$11,$W490))/(INDEX('Flow Curves'!$A$5:$A$11,$X490)-INDEX('Flow Curves'!$A$5:$A$11,$W490))))</f>
        <v>0</v>
      </c>
      <c r="P490" s="20" t="n">
        <f aca="false">IF(OR($B490="Air",$B490="Open Blow"),$O490*60*Cost!$D$16*Cost!$D$17/Cost!$D$5*Cost!$D$13,0)</f>
        <v>0</v>
      </c>
      <c r="Q490" s="17"/>
      <c r="U490" s="16" t="str">
        <f aca="false">IF($D490="","",IF(ISNA(MATCH($B490,Cost!$H$5:$H$11,0)),"CHECK GAS TYPE",IF(OR($C490&lt;10,$C490&gt;150),"CHECK PRESSURE: outside 10-150 psi table",IF(OR($D490&lt;1,$D490&gt;120),"CHECK dB: outside 1-120 table",IF(ISNA(MATCH($C490,'Flow Curves'!$A$5:$A$11,0)),"INTERPOLATED between curves","Table curve")))))</f>
        <v/>
      </c>
      <c r="W490" s="2" t="str">
        <f aca="false">IF(OR($D490="",$C490=""),"",MATCH(MAX(10,MIN(150,$C490)),'Flow Curves'!$A$5:$A$11,1))</f>
        <v/>
      </c>
      <c r="X490" s="2" t="str">
        <f aca="false">IF($W490="","",MIN($W490+1,7))</f>
        <v/>
      </c>
      <c r="Y490" s="2" t="str">
        <f aca="false">IF($W490="","",INDEX('Flow Curves'!$B$5:$B$11,$W490)*POWER($D490,INDEX('Flow Curves'!$C$5:$C$11,$W490)))</f>
        <v/>
      </c>
      <c r="Z490" s="2" t="str">
        <f aca="false">IF($W490="","",INDEX('Flow Curves'!$B$5:$B$11,$X490)*POWER($D490,INDEX('Flow Curves'!$C$5:$C$11,$X490)))</f>
        <v/>
      </c>
    </row>
    <row r="491" customFormat="false" ht="15" hidden="false" customHeight="false" outlineLevel="0" collapsed="false">
      <c r="A491" s="16" t="n">
        <v>484</v>
      </c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8" t="n">
        <f aca="false">IF($O491=0,0,$O491*60*Cost!$D$16*Cost!$D$17*IFERROR(INDEX(Cost!$I$5:$I$11,MATCH($B491,Cost!$H$5:$H$11,0)),0)/Cost!$D$5)</f>
        <v>0</v>
      </c>
      <c r="O491" s="19" t="n">
        <f aca="false">IF($W491="",0,IF(INDEX('Flow Curves'!$A$5:$A$11,$X491)=INDEX('Flow Curves'!$A$5:$A$11,$W491),$Y491,$Y491+($Z491-$Y491)*(MAX(10,MIN(150,$C491))-INDEX('Flow Curves'!$A$5:$A$11,$W491))/(INDEX('Flow Curves'!$A$5:$A$11,$X491)-INDEX('Flow Curves'!$A$5:$A$11,$W491))))</f>
        <v>0</v>
      </c>
      <c r="P491" s="20" t="n">
        <f aca="false">IF(OR($B491="Air",$B491="Open Blow"),$O491*60*Cost!$D$16*Cost!$D$17/Cost!$D$5*Cost!$D$13,0)</f>
        <v>0</v>
      </c>
      <c r="Q491" s="17"/>
      <c r="U491" s="16" t="str">
        <f aca="false">IF($D491="","",IF(ISNA(MATCH($B491,Cost!$H$5:$H$11,0)),"CHECK GAS TYPE",IF(OR($C491&lt;10,$C491&gt;150),"CHECK PRESSURE: outside 10-150 psi table",IF(OR($D491&lt;1,$D491&gt;120),"CHECK dB: outside 1-120 table",IF(ISNA(MATCH($C491,'Flow Curves'!$A$5:$A$11,0)),"INTERPOLATED between curves","Table curve")))))</f>
        <v/>
      </c>
      <c r="W491" s="2" t="str">
        <f aca="false">IF(OR($D491="",$C491=""),"",MATCH(MAX(10,MIN(150,$C491)),'Flow Curves'!$A$5:$A$11,1))</f>
        <v/>
      </c>
      <c r="X491" s="2" t="str">
        <f aca="false">IF($W491="","",MIN($W491+1,7))</f>
        <v/>
      </c>
      <c r="Y491" s="2" t="str">
        <f aca="false">IF($W491="","",INDEX('Flow Curves'!$B$5:$B$11,$W491)*POWER($D491,INDEX('Flow Curves'!$C$5:$C$11,$W491)))</f>
        <v/>
      </c>
      <c r="Z491" s="2" t="str">
        <f aca="false">IF($W491="","",INDEX('Flow Curves'!$B$5:$B$11,$X491)*POWER($D491,INDEX('Flow Curves'!$C$5:$C$11,$X491)))</f>
        <v/>
      </c>
    </row>
    <row r="492" customFormat="false" ht="15" hidden="false" customHeight="false" outlineLevel="0" collapsed="false">
      <c r="A492" s="16" t="n">
        <v>485</v>
      </c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8" t="n">
        <f aca="false">IF($O492=0,0,$O492*60*Cost!$D$16*Cost!$D$17*IFERROR(INDEX(Cost!$I$5:$I$11,MATCH($B492,Cost!$H$5:$H$11,0)),0)/Cost!$D$5)</f>
        <v>0</v>
      </c>
      <c r="O492" s="19" t="n">
        <f aca="false">IF($W492="",0,IF(INDEX('Flow Curves'!$A$5:$A$11,$X492)=INDEX('Flow Curves'!$A$5:$A$11,$W492),$Y492,$Y492+($Z492-$Y492)*(MAX(10,MIN(150,$C492))-INDEX('Flow Curves'!$A$5:$A$11,$W492))/(INDEX('Flow Curves'!$A$5:$A$11,$X492)-INDEX('Flow Curves'!$A$5:$A$11,$W492))))</f>
        <v>0</v>
      </c>
      <c r="P492" s="20" t="n">
        <f aca="false">IF(OR($B492="Air",$B492="Open Blow"),$O492*60*Cost!$D$16*Cost!$D$17/Cost!$D$5*Cost!$D$13,0)</f>
        <v>0</v>
      </c>
      <c r="Q492" s="17"/>
      <c r="U492" s="16" t="str">
        <f aca="false">IF($D492="","",IF(ISNA(MATCH($B492,Cost!$H$5:$H$11,0)),"CHECK GAS TYPE",IF(OR($C492&lt;10,$C492&gt;150),"CHECK PRESSURE: outside 10-150 psi table",IF(OR($D492&lt;1,$D492&gt;120),"CHECK dB: outside 1-120 table",IF(ISNA(MATCH($C492,'Flow Curves'!$A$5:$A$11,0)),"INTERPOLATED between curves","Table curve")))))</f>
        <v/>
      </c>
      <c r="W492" s="2" t="str">
        <f aca="false">IF(OR($D492="",$C492=""),"",MATCH(MAX(10,MIN(150,$C492)),'Flow Curves'!$A$5:$A$11,1))</f>
        <v/>
      </c>
      <c r="X492" s="2" t="str">
        <f aca="false">IF($W492="","",MIN($W492+1,7))</f>
        <v/>
      </c>
      <c r="Y492" s="2" t="str">
        <f aca="false">IF($W492="","",INDEX('Flow Curves'!$B$5:$B$11,$W492)*POWER($D492,INDEX('Flow Curves'!$C$5:$C$11,$W492)))</f>
        <v/>
      </c>
      <c r="Z492" s="2" t="str">
        <f aca="false">IF($W492="","",INDEX('Flow Curves'!$B$5:$B$11,$X492)*POWER($D492,INDEX('Flow Curves'!$C$5:$C$11,$X492)))</f>
        <v/>
      </c>
    </row>
    <row r="493" customFormat="false" ht="15" hidden="false" customHeight="false" outlineLevel="0" collapsed="false">
      <c r="A493" s="16" t="n">
        <v>486</v>
      </c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8" t="n">
        <f aca="false">IF($O493=0,0,$O493*60*Cost!$D$16*Cost!$D$17*IFERROR(INDEX(Cost!$I$5:$I$11,MATCH($B493,Cost!$H$5:$H$11,0)),0)/Cost!$D$5)</f>
        <v>0</v>
      </c>
      <c r="O493" s="19" t="n">
        <f aca="false">IF($W493="",0,IF(INDEX('Flow Curves'!$A$5:$A$11,$X493)=INDEX('Flow Curves'!$A$5:$A$11,$W493),$Y493,$Y493+($Z493-$Y493)*(MAX(10,MIN(150,$C493))-INDEX('Flow Curves'!$A$5:$A$11,$W493))/(INDEX('Flow Curves'!$A$5:$A$11,$X493)-INDEX('Flow Curves'!$A$5:$A$11,$W493))))</f>
        <v>0</v>
      </c>
      <c r="P493" s="20" t="n">
        <f aca="false">IF(OR($B493="Air",$B493="Open Blow"),$O493*60*Cost!$D$16*Cost!$D$17/Cost!$D$5*Cost!$D$13,0)</f>
        <v>0</v>
      </c>
      <c r="Q493" s="17"/>
      <c r="U493" s="16" t="str">
        <f aca="false">IF($D493="","",IF(ISNA(MATCH($B493,Cost!$H$5:$H$11,0)),"CHECK GAS TYPE",IF(OR($C493&lt;10,$C493&gt;150),"CHECK PRESSURE: outside 10-150 psi table",IF(OR($D493&lt;1,$D493&gt;120),"CHECK dB: outside 1-120 table",IF(ISNA(MATCH($C493,'Flow Curves'!$A$5:$A$11,0)),"INTERPOLATED between curves","Table curve")))))</f>
        <v/>
      </c>
      <c r="W493" s="2" t="str">
        <f aca="false">IF(OR($D493="",$C493=""),"",MATCH(MAX(10,MIN(150,$C493)),'Flow Curves'!$A$5:$A$11,1))</f>
        <v/>
      </c>
      <c r="X493" s="2" t="str">
        <f aca="false">IF($W493="","",MIN($W493+1,7))</f>
        <v/>
      </c>
      <c r="Y493" s="2" t="str">
        <f aca="false">IF($W493="","",INDEX('Flow Curves'!$B$5:$B$11,$W493)*POWER($D493,INDEX('Flow Curves'!$C$5:$C$11,$W493)))</f>
        <v/>
      </c>
      <c r="Z493" s="2" t="str">
        <f aca="false">IF($W493="","",INDEX('Flow Curves'!$B$5:$B$11,$X493)*POWER($D493,INDEX('Flow Curves'!$C$5:$C$11,$X493)))</f>
        <v/>
      </c>
    </row>
    <row r="494" customFormat="false" ht="15" hidden="false" customHeight="false" outlineLevel="0" collapsed="false">
      <c r="A494" s="16" t="n">
        <v>487</v>
      </c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8" t="n">
        <f aca="false">IF($O494=0,0,$O494*60*Cost!$D$16*Cost!$D$17*IFERROR(INDEX(Cost!$I$5:$I$11,MATCH($B494,Cost!$H$5:$H$11,0)),0)/Cost!$D$5)</f>
        <v>0</v>
      </c>
      <c r="O494" s="19" t="n">
        <f aca="false">IF($W494="",0,IF(INDEX('Flow Curves'!$A$5:$A$11,$X494)=INDEX('Flow Curves'!$A$5:$A$11,$W494),$Y494,$Y494+($Z494-$Y494)*(MAX(10,MIN(150,$C494))-INDEX('Flow Curves'!$A$5:$A$11,$W494))/(INDEX('Flow Curves'!$A$5:$A$11,$X494)-INDEX('Flow Curves'!$A$5:$A$11,$W494))))</f>
        <v>0</v>
      </c>
      <c r="P494" s="20" t="n">
        <f aca="false">IF(OR($B494="Air",$B494="Open Blow"),$O494*60*Cost!$D$16*Cost!$D$17/Cost!$D$5*Cost!$D$13,0)</f>
        <v>0</v>
      </c>
      <c r="Q494" s="17"/>
      <c r="U494" s="16" t="str">
        <f aca="false">IF($D494="","",IF(ISNA(MATCH($B494,Cost!$H$5:$H$11,0)),"CHECK GAS TYPE",IF(OR($C494&lt;10,$C494&gt;150),"CHECK PRESSURE: outside 10-150 psi table",IF(OR($D494&lt;1,$D494&gt;120),"CHECK dB: outside 1-120 table",IF(ISNA(MATCH($C494,'Flow Curves'!$A$5:$A$11,0)),"INTERPOLATED between curves","Table curve")))))</f>
        <v/>
      </c>
      <c r="W494" s="2" t="str">
        <f aca="false">IF(OR($D494="",$C494=""),"",MATCH(MAX(10,MIN(150,$C494)),'Flow Curves'!$A$5:$A$11,1))</f>
        <v/>
      </c>
      <c r="X494" s="2" t="str">
        <f aca="false">IF($W494="","",MIN($W494+1,7))</f>
        <v/>
      </c>
      <c r="Y494" s="2" t="str">
        <f aca="false">IF($W494="","",INDEX('Flow Curves'!$B$5:$B$11,$W494)*POWER($D494,INDEX('Flow Curves'!$C$5:$C$11,$W494)))</f>
        <v/>
      </c>
      <c r="Z494" s="2" t="str">
        <f aca="false">IF($W494="","",INDEX('Flow Curves'!$B$5:$B$11,$X494)*POWER($D494,INDEX('Flow Curves'!$C$5:$C$11,$X494)))</f>
        <v/>
      </c>
    </row>
    <row r="495" customFormat="false" ht="15" hidden="false" customHeight="false" outlineLevel="0" collapsed="false">
      <c r="A495" s="16" t="n">
        <v>488</v>
      </c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8" t="n">
        <f aca="false">IF($O495=0,0,$O495*60*Cost!$D$16*Cost!$D$17*IFERROR(INDEX(Cost!$I$5:$I$11,MATCH($B495,Cost!$H$5:$H$11,0)),0)/Cost!$D$5)</f>
        <v>0</v>
      </c>
      <c r="O495" s="19" t="n">
        <f aca="false">IF($W495="",0,IF(INDEX('Flow Curves'!$A$5:$A$11,$X495)=INDEX('Flow Curves'!$A$5:$A$11,$W495),$Y495,$Y495+($Z495-$Y495)*(MAX(10,MIN(150,$C495))-INDEX('Flow Curves'!$A$5:$A$11,$W495))/(INDEX('Flow Curves'!$A$5:$A$11,$X495)-INDEX('Flow Curves'!$A$5:$A$11,$W495))))</f>
        <v>0</v>
      </c>
      <c r="P495" s="20" t="n">
        <f aca="false">IF(OR($B495="Air",$B495="Open Blow"),$O495*60*Cost!$D$16*Cost!$D$17/Cost!$D$5*Cost!$D$13,0)</f>
        <v>0</v>
      </c>
      <c r="Q495" s="17"/>
      <c r="U495" s="16" t="str">
        <f aca="false">IF($D495="","",IF(ISNA(MATCH($B495,Cost!$H$5:$H$11,0)),"CHECK GAS TYPE",IF(OR($C495&lt;10,$C495&gt;150),"CHECK PRESSURE: outside 10-150 psi table",IF(OR($D495&lt;1,$D495&gt;120),"CHECK dB: outside 1-120 table",IF(ISNA(MATCH($C495,'Flow Curves'!$A$5:$A$11,0)),"INTERPOLATED between curves","Table curve")))))</f>
        <v/>
      </c>
      <c r="W495" s="2" t="str">
        <f aca="false">IF(OR($D495="",$C495=""),"",MATCH(MAX(10,MIN(150,$C495)),'Flow Curves'!$A$5:$A$11,1))</f>
        <v/>
      </c>
      <c r="X495" s="2" t="str">
        <f aca="false">IF($W495="","",MIN($W495+1,7))</f>
        <v/>
      </c>
      <c r="Y495" s="2" t="str">
        <f aca="false">IF($W495="","",INDEX('Flow Curves'!$B$5:$B$11,$W495)*POWER($D495,INDEX('Flow Curves'!$C$5:$C$11,$W495)))</f>
        <v/>
      </c>
      <c r="Z495" s="2" t="str">
        <f aca="false">IF($W495="","",INDEX('Flow Curves'!$B$5:$B$11,$X495)*POWER($D495,INDEX('Flow Curves'!$C$5:$C$11,$X495)))</f>
        <v/>
      </c>
    </row>
    <row r="496" customFormat="false" ht="15" hidden="false" customHeight="false" outlineLevel="0" collapsed="false">
      <c r="A496" s="16" t="n">
        <v>489</v>
      </c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8" t="n">
        <f aca="false">IF($O496=0,0,$O496*60*Cost!$D$16*Cost!$D$17*IFERROR(INDEX(Cost!$I$5:$I$11,MATCH($B496,Cost!$H$5:$H$11,0)),0)/Cost!$D$5)</f>
        <v>0</v>
      </c>
      <c r="O496" s="19" t="n">
        <f aca="false">IF($W496="",0,IF(INDEX('Flow Curves'!$A$5:$A$11,$X496)=INDEX('Flow Curves'!$A$5:$A$11,$W496),$Y496,$Y496+($Z496-$Y496)*(MAX(10,MIN(150,$C496))-INDEX('Flow Curves'!$A$5:$A$11,$W496))/(INDEX('Flow Curves'!$A$5:$A$11,$X496)-INDEX('Flow Curves'!$A$5:$A$11,$W496))))</f>
        <v>0</v>
      </c>
      <c r="P496" s="20" t="n">
        <f aca="false">IF(OR($B496="Air",$B496="Open Blow"),$O496*60*Cost!$D$16*Cost!$D$17/Cost!$D$5*Cost!$D$13,0)</f>
        <v>0</v>
      </c>
      <c r="Q496" s="17"/>
      <c r="U496" s="16" t="str">
        <f aca="false">IF($D496="","",IF(ISNA(MATCH($B496,Cost!$H$5:$H$11,0)),"CHECK GAS TYPE",IF(OR($C496&lt;10,$C496&gt;150),"CHECK PRESSURE: outside 10-150 psi table",IF(OR($D496&lt;1,$D496&gt;120),"CHECK dB: outside 1-120 table",IF(ISNA(MATCH($C496,'Flow Curves'!$A$5:$A$11,0)),"INTERPOLATED between curves","Table curve")))))</f>
        <v/>
      </c>
      <c r="W496" s="2" t="str">
        <f aca="false">IF(OR($D496="",$C496=""),"",MATCH(MAX(10,MIN(150,$C496)),'Flow Curves'!$A$5:$A$11,1))</f>
        <v/>
      </c>
      <c r="X496" s="2" t="str">
        <f aca="false">IF($W496="","",MIN($W496+1,7))</f>
        <v/>
      </c>
      <c r="Y496" s="2" t="str">
        <f aca="false">IF($W496="","",INDEX('Flow Curves'!$B$5:$B$11,$W496)*POWER($D496,INDEX('Flow Curves'!$C$5:$C$11,$W496)))</f>
        <v/>
      </c>
      <c r="Z496" s="2" t="str">
        <f aca="false">IF($W496="","",INDEX('Flow Curves'!$B$5:$B$11,$X496)*POWER($D496,INDEX('Flow Curves'!$C$5:$C$11,$X496)))</f>
        <v/>
      </c>
    </row>
    <row r="497" customFormat="false" ht="15" hidden="false" customHeight="false" outlineLevel="0" collapsed="false">
      <c r="A497" s="16" t="n">
        <v>490</v>
      </c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8" t="n">
        <f aca="false">IF($O497=0,0,$O497*60*Cost!$D$16*Cost!$D$17*IFERROR(INDEX(Cost!$I$5:$I$11,MATCH($B497,Cost!$H$5:$H$11,0)),0)/Cost!$D$5)</f>
        <v>0</v>
      </c>
      <c r="O497" s="19" t="n">
        <f aca="false">IF($W497="",0,IF(INDEX('Flow Curves'!$A$5:$A$11,$X497)=INDEX('Flow Curves'!$A$5:$A$11,$W497),$Y497,$Y497+($Z497-$Y497)*(MAX(10,MIN(150,$C497))-INDEX('Flow Curves'!$A$5:$A$11,$W497))/(INDEX('Flow Curves'!$A$5:$A$11,$X497)-INDEX('Flow Curves'!$A$5:$A$11,$W497))))</f>
        <v>0</v>
      </c>
      <c r="P497" s="20" t="n">
        <f aca="false">IF(OR($B497="Air",$B497="Open Blow"),$O497*60*Cost!$D$16*Cost!$D$17/Cost!$D$5*Cost!$D$13,0)</f>
        <v>0</v>
      </c>
      <c r="Q497" s="17"/>
      <c r="U497" s="16" t="str">
        <f aca="false">IF($D497="","",IF(ISNA(MATCH($B497,Cost!$H$5:$H$11,0)),"CHECK GAS TYPE",IF(OR($C497&lt;10,$C497&gt;150),"CHECK PRESSURE: outside 10-150 psi table",IF(OR($D497&lt;1,$D497&gt;120),"CHECK dB: outside 1-120 table",IF(ISNA(MATCH($C497,'Flow Curves'!$A$5:$A$11,0)),"INTERPOLATED between curves","Table curve")))))</f>
        <v/>
      </c>
      <c r="W497" s="2" t="str">
        <f aca="false">IF(OR($D497="",$C497=""),"",MATCH(MAX(10,MIN(150,$C497)),'Flow Curves'!$A$5:$A$11,1))</f>
        <v/>
      </c>
      <c r="X497" s="2" t="str">
        <f aca="false">IF($W497="","",MIN($W497+1,7))</f>
        <v/>
      </c>
      <c r="Y497" s="2" t="str">
        <f aca="false">IF($W497="","",INDEX('Flow Curves'!$B$5:$B$11,$W497)*POWER($D497,INDEX('Flow Curves'!$C$5:$C$11,$W497)))</f>
        <v/>
      </c>
      <c r="Z497" s="2" t="str">
        <f aca="false">IF($W497="","",INDEX('Flow Curves'!$B$5:$B$11,$X497)*POWER($D497,INDEX('Flow Curves'!$C$5:$C$11,$X497)))</f>
        <v/>
      </c>
    </row>
    <row r="498" customFormat="false" ht="15" hidden="false" customHeight="false" outlineLevel="0" collapsed="false">
      <c r="A498" s="16" t="n">
        <v>491</v>
      </c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8" t="n">
        <f aca="false">IF($O498=0,0,$O498*60*Cost!$D$16*Cost!$D$17*IFERROR(INDEX(Cost!$I$5:$I$11,MATCH($B498,Cost!$H$5:$H$11,0)),0)/Cost!$D$5)</f>
        <v>0</v>
      </c>
      <c r="O498" s="19" t="n">
        <f aca="false">IF($W498="",0,IF(INDEX('Flow Curves'!$A$5:$A$11,$X498)=INDEX('Flow Curves'!$A$5:$A$11,$W498),$Y498,$Y498+($Z498-$Y498)*(MAX(10,MIN(150,$C498))-INDEX('Flow Curves'!$A$5:$A$11,$W498))/(INDEX('Flow Curves'!$A$5:$A$11,$X498)-INDEX('Flow Curves'!$A$5:$A$11,$W498))))</f>
        <v>0</v>
      </c>
      <c r="P498" s="20" t="n">
        <f aca="false">IF(OR($B498="Air",$B498="Open Blow"),$O498*60*Cost!$D$16*Cost!$D$17/Cost!$D$5*Cost!$D$13,0)</f>
        <v>0</v>
      </c>
      <c r="Q498" s="17"/>
      <c r="U498" s="16" t="str">
        <f aca="false">IF($D498="","",IF(ISNA(MATCH($B498,Cost!$H$5:$H$11,0)),"CHECK GAS TYPE",IF(OR($C498&lt;10,$C498&gt;150),"CHECK PRESSURE: outside 10-150 psi table",IF(OR($D498&lt;1,$D498&gt;120),"CHECK dB: outside 1-120 table",IF(ISNA(MATCH($C498,'Flow Curves'!$A$5:$A$11,0)),"INTERPOLATED between curves","Table curve")))))</f>
        <v/>
      </c>
      <c r="W498" s="2" t="str">
        <f aca="false">IF(OR($D498="",$C498=""),"",MATCH(MAX(10,MIN(150,$C498)),'Flow Curves'!$A$5:$A$11,1))</f>
        <v/>
      </c>
      <c r="X498" s="2" t="str">
        <f aca="false">IF($W498="","",MIN($W498+1,7))</f>
        <v/>
      </c>
      <c r="Y498" s="2" t="str">
        <f aca="false">IF($W498="","",INDEX('Flow Curves'!$B$5:$B$11,$W498)*POWER($D498,INDEX('Flow Curves'!$C$5:$C$11,$W498)))</f>
        <v/>
      </c>
      <c r="Z498" s="2" t="str">
        <f aca="false">IF($W498="","",INDEX('Flow Curves'!$B$5:$B$11,$X498)*POWER($D498,INDEX('Flow Curves'!$C$5:$C$11,$X498)))</f>
        <v/>
      </c>
    </row>
    <row r="499" customFormat="false" ht="15" hidden="false" customHeight="false" outlineLevel="0" collapsed="false">
      <c r="A499" s="16" t="n">
        <v>492</v>
      </c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8" t="n">
        <f aca="false">IF($O499=0,0,$O499*60*Cost!$D$16*Cost!$D$17*IFERROR(INDEX(Cost!$I$5:$I$11,MATCH($B499,Cost!$H$5:$H$11,0)),0)/Cost!$D$5)</f>
        <v>0</v>
      </c>
      <c r="O499" s="19" t="n">
        <f aca="false">IF($W499="",0,IF(INDEX('Flow Curves'!$A$5:$A$11,$X499)=INDEX('Flow Curves'!$A$5:$A$11,$W499),$Y499,$Y499+($Z499-$Y499)*(MAX(10,MIN(150,$C499))-INDEX('Flow Curves'!$A$5:$A$11,$W499))/(INDEX('Flow Curves'!$A$5:$A$11,$X499)-INDEX('Flow Curves'!$A$5:$A$11,$W499))))</f>
        <v>0</v>
      </c>
      <c r="P499" s="20" t="n">
        <f aca="false">IF(OR($B499="Air",$B499="Open Blow"),$O499*60*Cost!$D$16*Cost!$D$17/Cost!$D$5*Cost!$D$13,0)</f>
        <v>0</v>
      </c>
      <c r="Q499" s="17"/>
      <c r="U499" s="16" t="str">
        <f aca="false">IF($D499="","",IF(ISNA(MATCH($B499,Cost!$H$5:$H$11,0)),"CHECK GAS TYPE",IF(OR($C499&lt;10,$C499&gt;150),"CHECK PRESSURE: outside 10-150 psi table",IF(OR($D499&lt;1,$D499&gt;120),"CHECK dB: outside 1-120 table",IF(ISNA(MATCH($C499,'Flow Curves'!$A$5:$A$11,0)),"INTERPOLATED between curves","Table curve")))))</f>
        <v/>
      </c>
      <c r="W499" s="2" t="str">
        <f aca="false">IF(OR($D499="",$C499=""),"",MATCH(MAX(10,MIN(150,$C499)),'Flow Curves'!$A$5:$A$11,1))</f>
        <v/>
      </c>
      <c r="X499" s="2" t="str">
        <f aca="false">IF($W499="","",MIN($W499+1,7))</f>
        <v/>
      </c>
      <c r="Y499" s="2" t="str">
        <f aca="false">IF($W499="","",INDEX('Flow Curves'!$B$5:$B$11,$W499)*POWER($D499,INDEX('Flow Curves'!$C$5:$C$11,$W499)))</f>
        <v/>
      </c>
      <c r="Z499" s="2" t="str">
        <f aca="false">IF($W499="","",INDEX('Flow Curves'!$B$5:$B$11,$X499)*POWER($D499,INDEX('Flow Curves'!$C$5:$C$11,$X499)))</f>
        <v/>
      </c>
    </row>
    <row r="500" customFormat="false" ht="15" hidden="false" customHeight="false" outlineLevel="0" collapsed="false">
      <c r="A500" s="16" t="n">
        <v>493</v>
      </c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8" t="n">
        <f aca="false">IF($O500=0,0,$O500*60*Cost!$D$16*Cost!$D$17*IFERROR(INDEX(Cost!$I$5:$I$11,MATCH($B500,Cost!$H$5:$H$11,0)),0)/Cost!$D$5)</f>
        <v>0</v>
      </c>
      <c r="O500" s="19" t="n">
        <f aca="false">IF($W500="",0,IF(INDEX('Flow Curves'!$A$5:$A$11,$X500)=INDEX('Flow Curves'!$A$5:$A$11,$W500),$Y500,$Y500+($Z500-$Y500)*(MAX(10,MIN(150,$C500))-INDEX('Flow Curves'!$A$5:$A$11,$W500))/(INDEX('Flow Curves'!$A$5:$A$11,$X500)-INDEX('Flow Curves'!$A$5:$A$11,$W500))))</f>
        <v>0</v>
      </c>
      <c r="P500" s="20" t="n">
        <f aca="false">IF(OR($B500="Air",$B500="Open Blow"),$O500*60*Cost!$D$16*Cost!$D$17/Cost!$D$5*Cost!$D$13,0)</f>
        <v>0</v>
      </c>
      <c r="Q500" s="17"/>
      <c r="U500" s="16" t="str">
        <f aca="false">IF($D500="","",IF(ISNA(MATCH($B500,Cost!$H$5:$H$11,0)),"CHECK GAS TYPE",IF(OR($C500&lt;10,$C500&gt;150),"CHECK PRESSURE: outside 10-150 psi table",IF(OR($D500&lt;1,$D500&gt;120),"CHECK dB: outside 1-120 table",IF(ISNA(MATCH($C500,'Flow Curves'!$A$5:$A$11,0)),"INTERPOLATED between curves","Table curve")))))</f>
        <v/>
      </c>
      <c r="W500" s="2" t="str">
        <f aca="false">IF(OR($D500="",$C500=""),"",MATCH(MAX(10,MIN(150,$C500)),'Flow Curves'!$A$5:$A$11,1))</f>
        <v/>
      </c>
      <c r="X500" s="2" t="str">
        <f aca="false">IF($W500="","",MIN($W500+1,7))</f>
        <v/>
      </c>
      <c r="Y500" s="2" t="str">
        <f aca="false">IF($W500="","",INDEX('Flow Curves'!$B$5:$B$11,$W500)*POWER($D500,INDEX('Flow Curves'!$C$5:$C$11,$W500)))</f>
        <v/>
      </c>
      <c r="Z500" s="2" t="str">
        <f aca="false">IF($W500="","",INDEX('Flow Curves'!$B$5:$B$11,$X500)*POWER($D500,INDEX('Flow Curves'!$C$5:$C$11,$X500)))</f>
        <v/>
      </c>
    </row>
  </sheetData>
  <mergeCells count="997">
    <mergeCell ref="A4:B4"/>
    <mergeCell ref="C4:D4"/>
    <mergeCell ref="E4:F4"/>
    <mergeCell ref="G4:H4"/>
    <mergeCell ref="I4:J4"/>
    <mergeCell ref="K4:L4"/>
    <mergeCell ref="M4:N4"/>
    <mergeCell ref="O4:O5"/>
    <mergeCell ref="P4:Q4"/>
    <mergeCell ref="E7:H7"/>
    <mergeCell ref="I7:L7"/>
    <mergeCell ref="E8:H8"/>
    <mergeCell ref="I8:L8"/>
    <mergeCell ref="E9:H9"/>
    <mergeCell ref="I9:L9"/>
    <mergeCell ref="E10:H10"/>
    <mergeCell ref="I10:L10"/>
    <mergeCell ref="E11:H11"/>
    <mergeCell ref="I11:L11"/>
    <mergeCell ref="E12:H12"/>
    <mergeCell ref="I12:L12"/>
    <mergeCell ref="E13:H13"/>
    <mergeCell ref="I13:L13"/>
    <mergeCell ref="E14:H14"/>
    <mergeCell ref="I14:L14"/>
    <mergeCell ref="E15:H15"/>
    <mergeCell ref="I15:L15"/>
    <mergeCell ref="E16:H16"/>
    <mergeCell ref="I16:L16"/>
    <mergeCell ref="E17:H17"/>
    <mergeCell ref="I17:L17"/>
    <mergeCell ref="E18:H18"/>
    <mergeCell ref="I18:L18"/>
    <mergeCell ref="E19:H19"/>
    <mergeCell ref="I19:L19"/>
    <mergeCell ref="E20:H20"/>
    <mergeCell ref="I20:L20"/>
    <mergeCell ref="E21:H21"/>
    <mergeCell ref="I21:L21"/>
    <mergeCell ref="E22:H22"/>
    <mergeCell ref="I22:L22"/>
    <mergeCell ref="E23:H23"/>
    <mergeCell ref="I23:L23"/>
    <mergeCell ref="E24:H24"/>
    <mergeCell ref="I24:L24"/>
    <mergeCell ref="E25:H25"/>
    <mergeCell ref="I25:L25"/>
    <mergeCell ref="E26:H26"/>
    <mergeCell ref="I26:L26"/>
    <mergeCell ref="E27:H27"/>
    <mergeCell ref="I27:L27"/>
    <mergeCell ref="E28:H28"/>
    <mergeCell ref="I28:L28"/>
    <mergeCell ref="E29:H29"/>
    <mergeCell ref="I29:L29"/>
    <mergeCell ref="E30:H30"/>
    <mergeCell ref="I30:L30"/>
    <mergeCell ref="E31:H31"/>
    <mergeCell ref="I31:L31"/>
    <mergeCell ref="E32:H32"/>
    <mergeCell ref="I32:L32"/>
    <mergeCell ref="E33:H33"/>
    <mergeCell ref="I33:L33"/>
    <mergeCell ref="E34:H34"/>
    <mergeCell ref="I34:L34"/>
    <mergeCell ref="E35:H35"/>
    <mergeCell ref="I35:L35"/>
    <mergeCell ref="E36:H36"/>
    <mergeCell ref="I36:L36"/>
    <mergeCell ref="E37:H37"/>
    <mergeCell ref="I37:L37"/>
    <mergeCell ref="E38:H38"/>
    <mergeCell ref="I38:L38"/>
    <mergeCell ref="E39:H39"/>
    <mergeCell ref="I39:L39"/>
    <mergeCell ref="E40:H40"/>
    <mergeCell ref="I40:L40"/>
    <mergeCell ref="E41:H41"/>
    <mergeCell ref="I41:L41"/>
    <mergeCell ref="E42:H42"/>
    <mergeCell ref="I42:L42"/>
    <mergeCell ref="E43:H43"/>
    <mergeCell ref="I43:L43"/>
    <mergeCell ref="E44:H44"/>
    <mergeCell ref="I44:L44"/>
    <mergeCell ref="E45:H45"/>
    <mergeCell ref="I45:L45"/>
    <mergeCell ref="E46:H46"/>
    <mergeCell ref="I46:L46"/>
    <mergeCell ref="E47:H47"/>
    <mergeCell ref="I47:L47"/>
    <mergeCell ref="E48:H48"/>
    <mergeCell ref="I48:L48"/>
    <mergeCell ref="E49:H49"/>
    <mergeCell ref="I49:L49"/>
    <mergeCell ref="E50:H50"/>
    <mergeCell ref="I50:L50"/>
    <mergeCell ref="E51:H51"/>
    <mergeCell ref="I51:L51"/>
    <mergeCell ref="E52:H52"/>
    <mergeCell ref="I52:L52"/>
    <mergeCell ref="E53:H53"/>
    <mergeCell ref="I53:L53"/>
    <mergeCell ref="E54:H54"/>
    <mergeCell ref="I54:L54"/>
    <mergeCell ref="E55:H55"/>
    <mergeCell ref="I55:L55"/>
    <mergeCell ref="E56:H56"/>
    <mergeCell ref="I56:L56"/>
    <mergeCell ref="E57:H57"/>
    <mergeCell ref="I57:L57"/>
    <mergeCell ref="E58:H58"/>
    <mergeCell ref="I58:L58"/>
    <mergeCell ref="E59:H59"/>
    <mergeCell ref="I59:L59"/>
    <mergeCell ref="E60:H60"/>
    <mergeCell ref="I60:L60"/>
    <mergeCell ref="E61:H61"/>
    <mergeCell ref="I61:L61"/>
    <mergeCell ref="E62:H62"/>
    <mergeCell ref="I62:L62"/>
    <mergeCell ref="E63:H63"/>
    <mergeCell ref="I63:L63"/>
    <mergeCell ref="E64:H64"/>
    <mergeCell ref="I64:L64"/>
    <mergeCell ref="E65:H65"/>
    <mergeCell ref="I65:L65"/>
    <mergeCell ref="E66:H66"/>
    <mergeCell ref="I66:L66"/>
    <mergeCell ref="E67:H67"/>
    <mergeCell ref="I67:L67"/>
    <mergeCell ref="E68:H68"/>
    <mergeCell ref="I68:L68"/>
    <mergeCell ref="E69:H69"/>
    <mergeCell ref="I69:L69"/>
    <mergeCell ref="E70:H70"/>
    <mergeCell ref="I70:L70"/>
    <mergeCell ref="E71:H71"/>
    <mergeCell ref="I71:L71"/>
    <mergeCell ref="E72:H72"/>
    <mergeCell ref="I72:L72"/>
    <mergeCell ref="E73:H73"/>
    <mergeCell ref="I73:L73"/>
    <mergeCell ref="E74:H74"/>
    <mergeCell ref="I74:L74"/>
    <mergeCell ref="E75:H75"/>
    <mergeCell ref="I75:L75"/>
    <mergeCell ref="E76:H76"/>
    <mergeCell ref="I76:L76"/>
    <mergeCell ref="E77:H77"/>
    <mergeCell ref="I77:L77"/>
    <mergeCell ref="E78:H78"/>
    <mergeCell ref="I78:L78"/>
    <mergeCell ref="E79:H79"/>
    <mergeCell ref="I79:L79"/>
    <mergeCell ref="E80:H80"/>
    <mergeCell ref="I80:L80"/>
    <mergeCell ref="E81:H81"/>
    <mergeCell ref="I81:L81"/>
    <mergeCell ref="E82:H82"/>
    <mergeCell ref="I82:L82"/>
    <mergeCell ref="E83:H83"/>
    <mergeCell ref="I83:L83"/>
    <mergeCell ref="E84:H84"/>
    <mergeCell ref="I84:L84"/>
    <mergeCell ref="E85:H85"/>
    <mergeCell ref="I85:L85"/>
    <mergeCell ref="E86:H86"/>
    <mergeCell ref="I86:L86"/>
    <mergeCell ref="E87:H87"/>
    <mergeCell ref="I87:L87"/>
    <mergeCell ref="E88:H88"/>
    <mergeCell ref="I88:L88"/>
    <mergeCell ref="E89:H89"/>
    <mergeCell ref="I89:L89"/>
    <mergeCell ref="E90:H90"/>
    <mergeCell ref="I90:L90"/>
    <mergeCell ref="E91:H91"/>
    <mergeCell ref="I91:L91"/>
    <mergeCell ref="E92:H92"/>
    <mergeCell ref="I92:L92"/>
    <mergeCell ref="E93:H93"/>
    <mergeCell ref="I93:L93"/>
    <mergeCell ref="E94:H94"/>
    <mergeCell ref="I94:L94"/>
    <mergeCell ref="E95:H95"/>
    <mergeCell ref="I95:L95"/>
    <mergeCell ref="E96:H96"/>
    <mergeCell ref="I96:L96"/>
    <mergeCell ref="E97:H97"/>
    <mergeCell ref="I97:L97"/>
    <mergeCell ref="E98:H98"/>
    <mergeCell ref="I98:L98"/>
    <mergeCell ref="E99:H99"/>
    <mergeCell ref="I99:L99"/>
    <mergeCell ref="E100:H100"/>
    <mergeCell ref="I100:L100"/>
    <mergeCell ref="E101:H101"/>
    <mergeCell ref="I101:L101"/>
    <mergeCell ref="E102:H102"/>
    <mergeCell ref="I102:L102"/>
    <mergeCell ref="E103:H103"/>
    <mergeCell ref="I103:L103"/>
    <mergeCell ref="E104:H104"/>
    <mergeCell ref="I104:L104"/>
    <mergeCell ref="E105:H105"/>
    <mergeCell ref="I105:L105"/>
    <mergeCell ref="E106:H106"/>
    <mergeCell ref="I106:L106"/>
    <mergeCell ref="E107:H107"/>
    <mergeCell ref="I107:L107"/>
    <mergeCell ref="E108:H108"/>
    <mergeCell ref="I108:L108"/>
    <mergeCell ref="E109:H109"/>
    <mergeCell ref="I109:L109"/>
    <mergeCell ref="E110:H110"/>
    <mergeCell ref="I110:L110"/>
    <mergeCell ref="E111:H111"/>
    <mergeCell ref="I111:L111"/>
    <mergeCell ref="E112:H112"/>
    <mergeCell ref="I112:L112"/>
    <mergeCell ref="E113:H113"/>
    <mergeCell ref="I113:L113"/>
    <mergeCell ref="E114:H114"/>
    <mergeCell ref="I114:L114"/>
    <mergeCell ref="E115:H115"/>
    <mergeCell ref="I115:L115"/>
    <mergeCell ref="E116:H116"/>
    <mergeCell ref="I116:L116"/>
    <mergeCell ref="E117:H117"/>
    <mergeCell ref="I117:L117"/>
    <mergeCell ref="E118:H118"/>
    <mergeCell ref="I118:L118"/>
    <mergeCell ref="E119:H119"/>
    <mergeCell ref="I119:L119"/>
    <mergeCell ref="E120:H120"/>
    <mergeCell ref="I120:L120"/>
    <mergeCell ref="E121:H121"/>
    <mergeCell ref="I121:L121"/>
    <mergeCell ref="E122:H122"/>
    <mergeCell ref="I122:L122"/>
    <mergeCell ref="E123:H123"/>
    <mergeCell ref="I123:L123"/>
    <mergeCell ref="E124:H124"/>
    <mergeCell ref="I124:L124"/>
    <mergeCell ref="E125:H125"/>
    <mergeCell ref="I125:L125"/>
    <mergeCell ref="E126:H126"/>
    <mergeCell ref="I126:L126"/>
    <mergeCell ref="E127:H127"/>
    <mergeCell ref="I127:L127"/>
    <mergeCell ref="E128:H128"/>
    <mergeCell ref="I128:L128"/>
    <mergeCell ref="E129:H129"/>
    <mergeCell ref="I129:L129"/>
    <mergeCell ref="E130:H130"/>
    <mergeCell ref="I130:L130"/>
    <mergeCell ref="E131:H131"/>
    <mergeCell ref="I131:L131"/>
    <mergeCell ref="E132:H132"/>
    <mergeCell ref="I132:L132"/>
    <mergeCell ref="E133:H133"/>
    <mergeCell ref="I133:L133"/>
    <mergeCell ref="E134:H134"/>
    <mergeCell ref="I134:L134"/>
    <mergeCell ref="E135:H135"/>
    <mergeCell ref="I135:L135"/>
    <mergeCell ref="E136:H136"/>
    <mergeCell ref="I136:L136"/>
    <mergeCell ref="E137:H137"/>
    <mergeCell ref="I137:L137"/>
    <mergeCell ref="E138:H138"/>
    <mergeCell ref="I138:L138"/>
    <mergeCell ref="E139:H139"/>
    <mergeCell ref="I139:L139"/>
    <mergeCell ref="E140:H140"/>
    <mergeCell ref="I140:L140"/>
    <mergeCell ref="E141:H141"/>
    <mergeCell ref="I141:L141"/>
    <mergeCell ref="E142:H142"/>
    <mergeCell ref="I142:L142"/>
    <mergeCell ref="E143:H143"/>
    <mergeCell ref="I143:L143"/>
    <mergeCell ref="E144:H144"/>
    <mergeCell ref="I144:L144"/>
    <mergeCell ref="E145:H145"/>
    <mergeCell ref="I145:L145"/>
    <mergeCell ref="E146:H146"/>
    <mergeCell ref="I146:L146"/>
    <mergeCell ref="E147:H147"/>
    <mergeCell ref="I147:L147"/>
    <mergeCell ref="E148:H148"/>
    <mergeCell ref="I148:L148"/>
    <mergeCell ref="E149:H149"/>
    <mergeCell ref="I149:L149"/>
    <mergeCell ref="E150:H150"/>
    <mergeCell ref="I150:L150"/>
    <mergeCell ref="E151:H151"/>
    <mergeCell ref="I151:L151"/>
    <mergeCell ref="E152:H152"/>
    <mergeCell ref="I152:L152"/>
    <mergeCell ref="E153:H153"/>
    <mergeCell ref="I153:L153"/>
    <mergeCell ref="E154:H154"/>
    <mergeCell ref="I154:L154"/>
    <mergeCell ref="E155:H155"/>
    <mergeCell ref="I155:L155"/>
    <mergeCell ref="E156:H156"/>
    <mergeCell ref="I156:L156"/>
    <mergeCell ref="E157:H157"/>
    <mergeCell ref="I157:L157"/>
    <mergeCell ref="E158:H158"/>
    <mergeCell ref="I158:L158"/>
    <mergeCell ref="E159:H159"/>
    <mergeCell ref="I159:L159"/>
    <mergeCell ref="E160:H160"/>
    <mergeCell ref="I160:L160"/>
    <mergeCell ref="E161:H161"/>
    <mergeCell ref="I161:L161"/>
    <mergeCell ref="E162:H162"/>
    <mergeCell ref="I162:L162"/>
    <mergeCell ref="E163:H163"/>
    <mergeCell ref="I163:L163"/>
    <mergeCell ref="E164:H164"/>
    <mergeCell ref="I164:L164"/>
    <mergeCell ref="E165:H165"/>
    <mergeCell ref="I165:L165"/>
    <mergeCell ref="E166:H166"/>
    <mergeCell ref="I166:L166"/>
    <mergeCell ref="E167:H167"/>
    <mergeCell ref="I167:L167"/>
    <mergeCell ref="E168:H168"/>
    <mergeCell ref="I168:L168"/>
    <mergeCell ref="E169:H169"/>
    <mergeCell ref="I169:L169"/>
    <mergeCell ref="E170:H170"/>
    <mergeCell ref="I170:L170"/>
    <mergeCell ref="E171:H171"/>
    <mergeCell ref="I171:L171"/>
    <mergeCell ref="E172:H172"/>
    <mergeCell ref="I172:L172"/>
    <mergeCell ref="E173:H173"/>
    <mergeCell ref="I173:L173"/>
    <mergeCell ref="E174:H174"/>
    <mergeCell ref="I174:L174"/>
    <mergeCell ref="E175:H175"/>
    <mergeCell ref="I175:L175"/>
    <mergeCell ref="E176:H176"/>
    <mergeCell ref="I176:L176"/>
    <mergeCell ref="E177:H177"/>
    <mergeCell ref="I177:L177"/>
    <mergeCell ref="E178:H178"/>
    <mergeCell ref="I178:L178"/>
    <mergeCell ref="E179:H179"/>
    <mergeCell ref="I179:L179"/>
    <mergeCell ref="E180:H180"/>
    <mergeCell ref="I180:L180"/>
    <mergeCell ref="E181:H181"/>
    <mergeCell ref="I181:L181"/>
    <mergeCell ref="E182:H182"/>
    <mergeCell ref="I182:L182"/>
    <mergeCell ref="E183:H183"/>
    <mergeCell ref="I183:L183"/>
    <mergeCell ref="E184:H184"/>
    <mergeCell ref="I184:L184"/>
    <mergeCell ref="E185:H185"/>
    <mergeCell ref="I185:L185"/>
    <mergeCell ref="E186:H186"/>
    <mergeCell ref="I186:L186"/>
    <mergeCell ref="E187:H187"/>
    <mergeCell ref="I187:L187"/>
    <mergeCell ref="E188:H188"/>
    <mergeCell ref="I188:L188"/>
    <mergeCell ref="E189:H189"/>
    <mergeCell ref="I189:L189"/>
    <mergeCell ref="E190:H190"/>
    <mergeCell ref="I190:L190"/>
    <mergeCell ref="E191:H191"/>
    <mergeCell ref="I191:L191"/>
    <mergeCell ref="E192:H192"/>
    <mergeCell ref="I192:L192"/>
    <mergeCell ref="E193:H193"/>
    <mergeCell ref="I193:L193"/>
    <mergeCell ref="E194:H194"/>
    <mergeCell ref="I194:L194"/>
    <mergeCell ref="E195:H195"/>
    <mergeCell ref="I195:L195"/>
    <mergeCell ref="E196:H196"/>
    <mergeCell ref="I196:L196"/>
    <mergeCell ref="E197:H197"/>
    <mergeCell ref="I197:L197"/>
    <mergeCell ref="E198:H198"/>
    <mergeCell ref="I198:L198"/>
    <mergeCell ref="E199:H199"/>
    <mergeCell ref="I199:L199"/>
    <mergeCell ref="E200:H200"/>
    <mergeCell ref="I200:L200"/>
    <mergeCell ref="E201:H201"/>
    <mergeCell ref="I201:L201"/>
    <mergeCell ref="E202:H202"/>
    <mergeCell ref="I202:L202"/>
    <mergeCell ref="E203:H203"/>
    <mergeCell ref="I203:L203"/>
    <mergeCell ref="E204:H204"/>
    <mergeCell ref="I204:L204"/>
    <mergeCell ref="E205:H205"/>
    <mergeCell ref="I205:L205"/>
    <mergeCell ref="E206:H206"/>
    <mergeCell ref="I206:L206"/>
    <mergeCell ref="E207:H207"/>
    <mergeCell ref="I207:L207"/>
    <mergeCell ref="E208:H208"/>
    <mergeCell ref="I208:L208"/>
    <mergeCell ref="E209:H209"/>
    <mergeCell ref="I209:L209"/>
    <mergeCell ref="E210:H210"/>
    <mergeCell ref="I210:L210"/>
    <mergeCell ref="E211:H211"/>
    <mergeCell ref="I211:L211"/>
    <mergeCell ref="E212:H212"/>
    <mergeCell ref="I212:L212"/>
    <mergeCell ref="E213:H213"/>
    <mergeCell ref="I213:L213"/>
    <mergeCell ref="E214:H214"/>
    <mergeCell ref="I214:L214"/>
    <mergeCell ref="E215:H215"/>
    <mergeCell ref="I215:L215"/>
    <mergeCell ref="E216:H216"/>
    <mergeCell ref="I216:L216"/>
    <mergeCell ref="E217:H217"/>
    <mergeCell ref="I217:L217"/>
    <mergeCell ref="E218:H218"/>
    <mergeCell ref="I218:L218"/>
    <mergeCell ref="E219:H219"/>
    <mergeCell ref="I219:L219"/>
    <mergeCell ref="E220:H220"/>
    <mergeCell ref="I220:L220"/>
    <mergeCell ref="E221:H221"/>
    <mergeCell ref="I221:L221"/>
    <mergeCell ref="E222:H222"/>
    <mergeCell ref="I222:L222"/>
    <mergeCell ref="E223:H223"/>
    <mergeCell ref="I223:L223"/>
    <mergeCell ref="E224:H224"/>
    <mergeCell ref="I224:L224"/>
    <mergeCell ref="E225:H225"/>
    <mergeCell ref="I225:L225"/>
    <mergeCell ref="E226:H226"/>
    <mergeCell ref="I226:L226"/>
    <mergeCell ref="E227:H227"/>
    <mergeCell ref="I227:L227"/>
    <mergeCell ref="E228:H228"/>
    <mergeCell ref="I228:L228"/>
    <mergeCell ref="E229:H229"/>
    <mergeCell ref="I229:L229"/>
    <mergeCell ref="E230:H230"/>
    <mergeCell ref="I230:L230"/>
    <mergeCell ref="E231:H231"/>
    <mergeCell ref="I231:L231"/>
    <mergeCell ref="E232:H232"/>
    <mergeCell ref="I232:L232"/>
    <mergeCell ref="E233:H233"/>
    <mergeCell ref="I233:L233"/>
    <mergeCell ref="E234:H234"/>
    <mergeCell ref="I234:L234"/>
    <mergeCell ref="E235:H235"/>
    <mergeCell ref="I235:L235"/>
    <mergeCell ref="E236:H236"/>
    <mergeCell ref="I236:L236"/>
    <mergeCell ref="E237:H237"/>
    <mergeCell ref="I237:L237"/>
    <mergeCell ref="E238:H238"/>
    <mergeCell ref="I238:L238"/>
    <mergeCell ref="E239:H239"/>
    <mergeCell ref="I239:L239"/>
    <mergeCell ref="E240:H240"/>
    <mergeCell ref="I240:L240"/>
    <mergeCell ref="E241:H241"/>
    <mergeCell ref="I241:L241"/>
    <mergeCell ref="E242:H242"/>
    <mergeCell ref="I242:L242"/>
    <mergeCell ref="E243:H243"/>
    <mergeCell ref="I243:L243"/>
    <mergeCell ref="E244:H244"/>
    <mergeCell ref="I244:L244"/>
    <mergeCell ref="E245:H245"/>
    <mergeCell ref="I245:L245"/>
    <mergeCell ref="E246:H246"/>
    <mergeCell ref="I246:L246"/>
    <mergeCell ref="E247:H247"/>
    <mergeCell ref="I247:L247"/>
    <mergeCell ref="E248:H248"/>
    <mergeCell ref="I248:L248"/>
    <mergeCell ref="E249:H249"/>
    <mergeCell ref="I249:L249"/>
    <mergeCell ref="E250:H250"/>
    <mergeCell ref="I250:L250"/>
    <mergeCell ref="E251:H251"/>
    <mergeCell ref="I251:L251"/>
    <mergeCell ref="E252:H252"/>
    <mergeCell ref="I252:L252"/>
    <mergeCell ref="E253:H253"/>
    <mergeCell ref="I253:L253"/>
    <mergeCell ref="E254:H254"/>
    <mergeCell ref="I254:L254"/>
    <mergeCell ref="E255:H255"/>
    <mergeCell ref="I255:L255"/>
    <mergeCell ref="E256:H256"/>
    <mergeCell ref="I256:L256"/>
    <mergeCell ref="E257:H257"/>
    <mergeCell ref="I257:L257"/>
    <mergeCell ref="E258:H258"/>
    <mergeCell ref="I258:L258"/>
    <mergeCell ref="E259:H259"/>
    <mergeCell ref="I259:L259"/>
    <mergeCell ref="E260:H260"/>
    <mergeCell ref="I260:L260"/>
    <mergeCell ref="E261:H261"/>
    <mergeCell ref="I261:L261"/>
    <mergeCell ref="E262:H262"/>
    <mergeCell ref="I262:L262"/>
    <mergeCell ref="E263:H263"/>
    <mergeCell ref="I263:L263"/>
    <mergeCell ref="E264:H264"/>
    <mergeCell ref="I264:L264"/>
    <mergeCell ref="E265:H265"/>
    <mergeCell ref="I265:L265"/>
    <mergeCell ref="E266:H266"/>
    <mergeCell ref="I266:L266"/>
    <mergeCell ref="E267:H267"/>
    <mergeCell ref="I267:L267"/>
    <mergeCell ref="E268:H268"/>
    <mergeCell ref="I268:L268"/>
    <mergeCell ref="E269:H269"/>
    <mergeCell ref="I269:L269"/>
    <mergeCell ref="E270:H270"/>
    <mergeCell ref="I270:L270"/>
    <mergeCell ref="E271:H271"/>
    <mergeCell ref="I271:L271"/>
    <mergeCell ref="E272:H272"/>
    <mergeCell ref="I272:L272"/>
    <mergeCell ref="E273:H273"/>
    <mergeCell ref="I273:L273"/>
    <mergeCell ref="E274:H274"/>
    <mergeCell ref="I274:L274"/>
    <mergeCell ref="E275:H275"/>
    <mergeCell ref="I275:L275"/>
    <mergeCell ref="E276:H276"/>
    <mergeCell ref="I276:L276"/>
    <mergeCell ref="E277:H277"/>
    <mergeCell ref="I277:L277"/>
    <mergeCell ref="E278:H278"/>
    <mergeCell ref="I278:L278"/>
    <mergeCell ref="E279:H279"/>
    <mergeCell ref="I279:L279"/>
    <mergeCell ref="E280:H280"/>
    <mergeCell ref="I280:L280"/>
    <mergeCell ref="E281:H281"/>
    <mergeCell ref="I281:L281"/>
    <mergeCell ref="E282:H282"/>
    <mergeCell ref="I282:L282"/>
    <mergeCell ref="E283:H283"/>
    <mergeCell ref="I283:L283"/>
    <mergeCell ref="E284:H284"/>
    <mergeCell ref="I284:L284"/>
    <mergeCell ref="E285:H285"/>
    <mergeCell ref="I285:L285"/>
    <mergeCell ref="E286:H286"/>
    <mergeCell ref="I286:L286"/>
    <mergeCell ref="E287:H287"/>
    <mergeCell ref="I287:L287"/>
    <mergeCell ref="E288:H288"/>
    <mergeCell ref="I288:L288"/>
    <mergeCell ref="E289:H289"/>
    <mergeCell ref="I289:L289"/>
    <mergeCell ref="E290:H290"/>
    <mergeCell ref="I290:L290"/>
    <mergeCell ref="E291:H291"/>
    <mergeCell ref="I291:L291"/>
    <mergeCell ref="E292:H292"/>
    <mergeCell ref="I292:L292"/>
    <mergeCell ref="E293:H293"/>
    <mergeCell ref="I293:L293"/>
    <mergeCell ref="E294:H294"/>
    <mergeCell ref="I294:L294"/>
    <mergeCell ref="E295:H295"/>
    <mergeCell ref="I295:L295"/>
    <mergeCell ref="E296:H296"/>
    <mergeCell ref="I296:L296"/>
    <mergeCell ref="E297:H297"/>
    <mergeCell ref="I297:L297"/>
    <mergeCell ref="E298:H298"/>
    <mergeCell ref="I298:L298"/>
    <mergeCell ref="E299:H299"/>
    <mergeCell ref="I299:L299"/>
    <mergeCell ref="E300:H300"/>
    <mergeCell ref="I300:L300"/>
    <mergeCell ref="E301:H301"/>
    <mergeCell ref="I301:L301"/>
    <mergeCell ref="E302:H302"/>
    <mergeCell ref="I302:L302"/>
    <mergeCell ref="E303:H303"/>
    <mergeCell ref="I303:L303"/>
    <mergeCell ref="E304:H304"/>
    <mergeCell ref="I304:L304"/>
    <mergeCell ref="E305:H305"/>
    <mergeCell ref="I305:L305"/>
    <mergeCell ref="E306:H306"/>
    <mergeCell ref="I306:L306"/>
    <mergeCell ref="E307:H307"/>
    <mergeCell ref="I307:L307"/>
    <mergeCell ref="E308:H308"/>
    <mergeCell ref="I308:L308"/>
    <mergeCell ref="E309:H309"/>
    <mergeCell ref="I309:L309"/>
    <mergeCell ref="E310:H310"/>
    <mergeCell ref="I310:L310"/>
    <mergeCell ref="E311:H311"/>
    <mergeCell ref="I311:L311"/>
    <mergeCell ref="E312:H312"/>
    <mergeCell ref="I312:L312"/>
    <mergeCell ref="E313:H313"/>
    <mergeCell ref="I313:L313"/>
    <mergeCell ref="E314:H314"/>
    <mergeCell ref="I314:L314"/>
    <mergeCell ref="E315:H315"/>
    <mergeCell ref="I315:L315"/>
    <mergeCell ref="E316:H316"/>
    <mergeCell ref="I316:L316"/>
    <mergeCell ref="E317:H317"/>
    <mergeCell ref="I317:L317"/>
    <mergeCell ref="E318:H318"/>
    <mergeCell ref="I318:L318"/>
    <mergeCell ref="E319:H319"/>
    <mergeCell ref="I319:L319"/>
    <mergeCell ref="E320:H320"/>
    <mergeCell ref="I320:L320"/>
    <mergeCell ref="E321:H321"/>
    <mergeCell ref="I321:L321"/>
    <mergeCell ref="E322:H322"/>
    <mergeCell ref="I322:L322"/>
    <mergeCell ref="E323:H323"/>
    <mergeCell ref="I323:L323"/>
    <mergeCell ref="E324:H324"/>
    <mergeCell ref="I324:L324"/>
    <mergeCell ref="E325:H325"/>
    <mergeCell ref="I325:L325"/>
    <mergeCell ref="E326:H326"/>
    <mergeCell ref="I326:L326"/>
    <mergeCell ref="E327:H327"/>
    <mergeCell ref="I327:L327"/>
    <mergeCell ref="E328:H328"/>
    <mergeCell ref="I328:L328"/>
    <mergeCell ref="E329:H329"/>
    <mergeCell ref="I329:L329"/>
    <mergeCell ref="E330:H330"/>
    <mergeCell ref="I330:L330"/>
    <mergeCell ref="E331:H331"/>
    <mergeCell ref="I331:L331"/>
    <mergeCell ref="E332:H332"/>
    <mergeCell ref="I332:L332"/>
    <mergeCell ref="E333:H333"/>
    <mergeCell ref="I333:L333"/>
    <mergeCell ref="E334:H334"/>
    <mergeCell ref="I334:L334"/>
    <mergeCell ref="E335:H335"/>
    <mergeCell ref="I335:L335"/>
    <mergeCell ref="E336:H336"/>
    <mergeCell ref="I336:L336"/>
    <mergeCell ref="E337:H337"/>
    <mergeCell ref="I337:L337"/>
    <mergeCell ref="E338:H338"/>
    <mergeCell ref="I338:L338"/>
    <mergeCell ref="E339:H339"/>
    <mergeCell ref="I339:L339"/>
    <mergeCell ref="E340:H340"/>
    <mergeCell ref="I340:L340"/>
    <mergeCell ref="E341:H341"/>
    <mergeCell ref="I341:L341"/>
    <mergeCell ref="E342:H342"/>
    <mergeCell ref="I342:L342"/>
    <mergeCell ref="E343:H343"/>
    <mergeCell ref="I343:L343"/>
    <mergeCell ref="E344:H344"/>
    <mergeCell ref="I344:L344"/>
    <mergeCell ref="E345:H345"/>
    <mergeCell ref="I345:L345"/>
    <mergeCell ref="E346:H346"/>
    <mergeCell ref="I346:L346"/>
    <mergeCell ref="E347:H347"/>
    <mergeCell ref="I347:L347"/>
    <mergeCell ref="E348:H348"/>
    <mergeCell ref="I348:L348"/>
    <mergeCell ref="E349:H349"/>
    <mergeCell ref="I349:L349"/>
    <mergeCell ref="E350:H350"/>
    <mergeCell ref="I350:L350"/>
    <mergeCell ref="E351:H351"/>
    <mergeCell ref="I351:L351"/>
    <mergeCell ref="E352:H352"/>
    <mergeCell ref="I352:L352"/>
    <mergeCell ref="E353:H353"/>
    <mergeCell ref="I353:L353"/>
    <mergeCell ref="E354:H354"/>
    <mergeCell ref="I354:L354"/>
    <mergeCell ref="E355:H355"/>
    <mergeCell ref="I355:L355"/>
    <mergeCell ref="E356:H356"/>
    <mergeCell ref="I356:L356"/>
    <mergeCell ref="E357:H357"/>
    <mergeCell ref="I357:L357"/>
    <mergeCell ref="E358:H358"/>
    <mergeCell ref="I358:L358"/>
    <mergeCell ref="E359:H359"/>
    <mergeCell ref="I359:L359"/>
    <mergeCell ref="E360:H360"/>
    <mergeCell ref="I360:L360"/>
    <mergeCell ref="E361:H361"/>
    <mergeCell ref="I361:L361"/>
    <mergeCell ref="E362:H362"/>
    <mergeCell ref="I362:L362"/>
    <mergeCell ref="E363:H363"/>
    <mergeCell ref="I363:L363"/>
    <mergeCell ref="E364:H364"/>
    <mergeCell ref="I364:L364"/>
    <mergeCell ref="E365:H365"/>
    <mergeCell ref="I365:L365"/>
    <mergeCell ref="E366:H366"/>
    <mergeCell ref="I366:L366"/>
    <mergeCell ref="E367:H367"/>
    <mergeCell ref="I367:L367"/>
    <mergeCell ref="E368:H368"/>
    <mergeCell ref="I368:L368"/>
    <mergeCell ref="E369:H369"/>
    <mergeCell ref="I369:L369"/>
    <mergeCell ref="E370:H370"/>
    <mergeCell ref="I370:L370"/>
    <mergeCell ref="E371:H371"/>
    <mergeCell ref="I371:L371"/>
    <mergeCell ref="E372:H372"/>
    <mergeCell ref="I372:L372"/>
    <mergeCell ref="E373:H373"/>
    <mergeCell ref="I373:L373"/>
    <mergeCell ref="E374:H374"/>
    <mergeCell ref="I374:L374"/>
    <mergeCell ref="E375:H375"/>
    <mergeCell ref="I375:L375"/>
    <mergeCell ref="E376:H376"/>
    <mergeCell ref="I376:L376"/>
    <mergeCell ref="E377:H377"/>
    <mergeCell ref="I377:L377"/>
    <mergeCell ref="E378:H378"/>
    <mergeCell ref="I378:L378"/>
    <mergeCell ref="E379:H379"/>
    <mergeCell ref="I379:L379"/>
    <mergeCell ref="E380:H380"/>
    <mergeCell ref="I380:L380"/>
    <mergeCell ref="E381:H381"/>
    <mergeCell ref="I381:L381"/>
    <mergeCell ref="E382:H382"/>
    <mergeCell ref="I382:L382"/>
    <mergeCell ref="E383:H383"/>
    <mergeCell ref="I383:L383"/>
    <mergeCell ref="E384:H384"/>
    <mergeCell ref="I384:L384"/>
    <mergeCell ref="E385:H385"/>
    <mergeCell ref="I385:L385"/>
    <mergeCell ref="E386:H386"/>
    <mergeCell ref="I386:L386"/>
    <mergeCell ref="E387:H387"/>
    <mergeCell ref="I387:L387"/>
    <mergeCell ref="E388:H388"/>
    <mergeCell ref="I388:L388"/>
    <mergeCell ref="E389:H389"/>
    <mergeCell ref="I389:L389"/>
    <mergeCell ref="E390:H390"/>
    <mergeCell ref="I390:L390"/>
    <mergeCell ref="E391:H391"/>
    <mergeCell ref="I391:L391"/>
    <mergeCell ref="E392:H392"/>
    <mergeCell ref="I392:L392"/>
    <mergeCell ref="E393:H393"/>
    <mergeCell ref="I393:L393"/>
    <mergeCell ref="E394:H394"/>
    <mergeCell ref="I394:L394"/>
    <mergeCell ref="E395:H395"/>
    <mergeCell ref="I395:L395"/>
    <mergeCell ref="E396:H396"/>
    <mergeCell ref="I396:L396"/>
    <mergeCell ref="E397:H397"/>
    <mergeCell ref="I397:L397"/>
    <mergeCell ref="E398:H398"/>
    <mergeCell ref="I398:L398"/>
    <mergeCell ref="E399:H399"/>
    <mergeCell ref="I399:L399"/>
    <mergeCell ref="E400:H400"/>
    <mergeCell ref="I400:L400"/>
    <mergeCell ref="E401:H401"/>
    <mergeCell ref="I401:L401"/>
    <mergeCell ref="E402:H402"/>
    <mergeCell ref="I402:L402"/>
    <mergeCell ref="E403:H403"/>
    <mergeCell ref="I403:L403"/>
    <mergeCell ref="E404:H404"/>
    <mergeCell ref="I404:L404"/>
    <mergeCell ref="E405:H405"/>
    <mergeCell ref="I405:L405"/>
    <mergeCell ref="E406:H406"/>
    <mergeCell ref="I406:L406"/>
    <mergeCell ref="E407:H407"/>
    <mergeCell ref="I407:L407"/>
    <mergeCell ref="E408:H408"/>
    <mergeCell ref="I408:L408"/>
    <mergeCell ref="E409:H409"/>
    <mergeCell ref="I409:L409"/>
    <mergeCell ref="E410:H410"/>
    <mergeCell ref="I410:L410"/>
    <mergeCell ref="E411:H411"/>
    <mergeCell ref="I411:L411"/>
    <mergeCell ref="E412:H412"/>
    <mergeCell ref="I412:L412"/>
    <mergeCell ref="E413:H413"/>
    <mergeCell ref="I413:L413"/>
    <mergeCell ref="E414:H414"/>
    <mergeCell ref="I414:L414"/>
    <mergeCell ref="E415:H415"/>
    <mergeCell ref="I415:L415"/>
    <mergeCell ref="E416:H416"/>
    <mergeCell ref="I416:L416"/>
    <mergeCell ref="E417:H417"/>
    <mergeCell ref="I417:L417"/>
    <mergeCell ref="E418:H418"/>
    <mergeCell ref="I418:L418"/>
    <mergeCell ref="E419:H419"/>
    <mergeCell ref="I419:L419"/>
    <mergeCell ref="E420:H420"/>
    <mergeCell ref="I420:L420"/>
    <mergeCell ref="E421:H421"/>
    <mergeCell ref="I421:L421"/>
    <mergeCell ref="E422:H422"/>
    <mergeCell ref="I422:L422"/>
    <mergeCell ref="E423:H423"/>
    <mergeCell ref="I423:L423"/>
    <mergeCell ref="E424:H424"/>
    <mergeCell ref="I424:L424"/>
    <mergeCell ref="E425:H425"/>
    <mergeCell ref="I425:L425"/>
    <mergeCell ref="E426:H426"/>
    <mergeCell ref="I426:L426"/>
    <mergeCell ref="E427:H427"/>
    <mergeCell ref="I427:L427"/>
    <mergeCell ref="E428:H428"/>
    <mergeCell ref="I428:L428"/>
    <mergeCell ref="E429:H429"/>
    <mergeCell ref="I429:L429"/>
    <mergeCell ref="E430:H430"/>
    <mergeCell ref="I430:L430"/>
    <mergeCell ref="E431:H431"/>
    <mergeCell ref="I431:L431"/>
    <mergeCell ref="E432:H432"/>
    <mergeCell ref="I432:L432"/>
    <mergeCell ref="E433:H433"/>
    <mergeCell ref="I433:L433"/>
    <mergeCell ref="E434:H434"/>
    <mergeCell ref="I434:L434"/>
    <mergeCell ref="E435:H435"/>
    <mergeCell ref="I435:L435"/>
    <mergeCell ref="E436:H436"/>
    <mergeCell ref="I436:L436"/>
    <mergeCell ref="E437:H437"/>
    <mergeCell ref="I437:L437"/>
    <mergeCell ref="E438:H438"/>
    <mergeCell ref="I438:L438"/>
    <mergeCell ref="E439:H439"/>
    <mergeCell ref="I439:L439"/>
    <mergeCell ref="E440:H440"/>
    <mergeCell ref="I440:L440"/>
    <mergeCell ref="E441:H441"/>
    <mergeCell ref="I441:L441"/>
    <mergeCell ref="E442:H442"/>
    <mergeCell ref="I442:L442"/>
    <mergeCell ref="E443:H443"/>
    <mergeCell ref="I443:L443"/>
    <mergeCell ref="E444:H444"/>
    <mergeCell ref="I444:L444"/>
    <mergeCell ref="E445:H445"/>
    <mergeCell ref="I445:L445"/>
    <mergeCell ref="E446:H446"/>
    <mergeCell ref="I446:L446"/>
    <mergeCell ref="E447:H447"/>
    <mergeCell ref="I447:L447"/>
    <mergeCell ref="E448:H448"/>
    <mergeCell ref="I448:L448"/>
    <mergeCell ref="E449:H449"/>
    <mergeCell ref="I449:L449"/>
    <mergeCell ref="E450:H450"/>
    <mergeCell ref="I450:L450"/>
    <mergeCell ref="E451:H451"/>
    <mergeCell ref="I451:L451"/>
    <mergeCell ref="E452:H452"/>
    <mergeCell ref="I452:L452"/>
    <mergeCell ref="E453:H453"/>
    <mergeCell ref="I453:L453"/>
    <mergeCell ref="E454:H454"/>
    <mergeCell ref="I454:L454"/>
    <mergeCell ref="E455:H455"/>
    <mergeCell ref="I455:L455"/>
    <mergeCell ref="E456:H456"/>
    <mergeCell ref="I456:L456"/>
    <mergeCell ref="E457:H457"/>
    <mergeCell ref="I457:L457"/>
    <mergeCell ref="E458:H458"/>
    <mergeCell ref="I458:L458"/>
    <mergeCell ref="E459:H459"/>
    <mergeCell ref="I459:L459"/>
    <mergeCell ref="E460:H460"/>
    <mergeCell ref="I460:L460"/>
    <mergeCell ref="E461:H461"/>
    <mergeCell ref="I461:L461"/>
    <mergeCell ref="E462:H462"/>
    <mergeCell ref="I462:L462"/>
    <mergeCell ref="E463:H463"/>
    <mergeCell ref="I463:L463"/>
    <mergeCell ref="E464:H464"/>
    <mergeCell ref="I464:L464"/>
    <mergeCell ref="E465:H465"/>
    <mergeCell ref="I465:L465"/>
    <mergeCell ref="E466:H466"/>
    <mergeCell ref="I466:L466"/>
    <mergeCell ref="E467:H467"/>
    <mergeCell ref="I467:L467"/>
    <mergeCell ref="E468:H468"/>
    <mergeCell ref="I468:L468"/>
    <mergeCell ref="E469:H469"/>
    <mergeCell ref="I469:L469"/>
    <mergeCell ref="E470:H470"/>
    <mergeCell ref="I470:L470"/>
    <mergeCell ref="E471:H471"/>
    <mergeCell ref="I471:L471"/>
    <mergeCell ref="E472:H472"/>
    <mergeCell ref="I472:L472"/>
    <mergeCell ref="E473:H473"/>
    <mergeCell ref="I473:L473"/>
    <mergeCell ref="E474:H474"/>
    <mergeCell ref="I474:L474"/>
    <mergeCell ref="E475:H475"/>
    <mergeCell ref="I475:L475"/>
    <mergeCell ref="E476:H476"/>
    <mergeCell ref="I476:L476"/>
    <mergeCell ref="E477:H477"/>
    <mergeCell ref="I477:L477"/>
    <mergeCell ref="E478:H478"/>
    <mergeCell ref="I478:L478"/>
    <mergeCell ref="E479:H479"/>
    <mergeCell ref="I479:L479"/>
    <mergeCell ref="E480:H480"/>
    <mergeCell ref="I480:L480"/>
    <mergeCell ref="E481:H481"/>
    <mergeCell ref="I481:L481"/>
    <mergeCell ref="E482:H482"/>
    <mergeCell ref="I482:L482"/>
    <mergeCell ref="E483:H483"/>
    <mergeCell ref="I483:L483"/>
    <mergeCell ref="E484:H484"/>
    <mergeCell ref="I484:L484"/>
    <mergeCell ref="E485:H485"/>
    <mergeCell ref="I485:L485"/>
    <mergeCell ref="E486:H486"/>
    <mergeCell ref="I486:L486"/>
    <mergeCell ref="E487:H487"/>
    <mergeCell ref="I487:L487"/>
    <mergeCell ref="E488:H488"/>
    <mergeCell ref="I488:L488"/>
    <mergeCell ref="E489:H489"/>
    <mergeCell ref="I489:L489"/>
    <mergeCell ref="E490:H490"/>
    <mergeCell ref="I490:L490"/>
    <mergeCell ref="E491:H491"/>
    <mergeCell ref="I491:L491"/>
    <mergeCell ref="E492:H492"/>
    <mergeCell ref="I492:L492"/>
    <mergeCell ref="E493:H493"/>
    <mergeCell ref="I493:L493"/>
    <mergeCell ref="E494:H494"/>
    <mergeCell ref="I494:L494"/>
    <mergeCell ref="E495:H495"/>
    <mergeCell ref="I495:L495"/>
    <mergeCell ref="E496:H496"/>
    <mergeCell ref="I496:L496"/>
    <mergeCell ref="E497:H497"/>
    <mergeCell ref="I497:L497"/>
    <mergeCell ref="E498:H498"/>
    <mergeCell ref="I498:L498"/>
    <mergeCell ref="E499:H499"/>
    <mergeCell ref="I499:L499"/>
    <mergeCell ref="E500:H500"/>
    <mergeCell ref="I500:L500"/>
  </mergeCells>
  <conditionalFormatting sqref="S22">
    <cfRule type="expression" priority="2" aboveAverage="0" equalAverage="0" bottom="0" percent="0" rank="0" text="" dxfId="0">
      <formula>S22&gt;0</formula>
    </cfRule>
  </conditionalFormatting>
  <conditionalFormatting sqref="S24">
    <cfRule type="expression" priority="3" aboveAverage="0" equalAverage="0" bottom="0" percent="0" rank="0" text="" dxfId="0">
      <formula>S24&lt;&gt;"Rate set"</formula>
    </cfRule>
  </conditionalFormatting>
  <conditionalFormatting sqref="U8:U500">
    <cfRule type="expression" priority="4" aboveAverage="0" equalAverage="0" bottom="0" percent="0" rank="0" text="" dxfId="0">
      <formula>LEFT(U8,5)="CHECK"</formula>
    </cfRule>
    <cfRule type="expression" priority="5" aboveAverage="0" equalAverage="0" bottom="0" percent="0" rank="0" text="" dxfId="1">
      <formula>LEFT(U8,5)="INTER"</formula>
    </cfRule>
  </conditionalFormatting>
  <dataValidations count="3">
    <dataValidation allowBlank="true" errorStyle="stop" operator="between" showDropDown="false" showErrorMessage="false" showInputMessage="false" sqref="B8:B500" type="list">
      <formula1>Cost!$H$5:$H$11</formula1>
      <formula2>0</formula2>
    </dataValidation>
    <dataValidation allowBlank="true" errorStyle="stop" operator="between" showDropDown="false" showErrorMessage="false" showInputMessage="false" sqref="M8:M500" type="list">
      <formula1>"Y,N"</formula1>
      <formula2>0</formula2>
    </dataValidation>
    <dataValidation allowBlank="true" error="Pressure must be 10-150 psi (UE Systems table range)." errorStyle="stop" operator="between" showDropDown="false" showErrorMessage="true" showInputMessage="false" sqref="C8:C500" type="decimal">
      <formula1>10</formula1>
      <formula2>150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</cols>
  <sheetData>
    <row r="1" customFormat="false" ht="15" hidden="false" customHeight="false" outlineLevel="0" collapsed="false">
      <c r="A1" s="8" t="s">
        <v>65</v>
      </c>
    </row>
    <row r="2" customFormat="false" ht="15" hidden="false" customHeight="false" outlineLevel="0" collapsed="false">
      <c r="A2" s="2" t="s">
        <v>66</v>
      </c>
    </row>
    <row r="4" customFormat="false" ht="15" hidden="false" customHeight="false" outlineLevel="0" collapsed="false">
      <c r="A4" s="8" t="s">
        <v>67</v>
      </c>
      <c r="B4" s="8" t="s">
        <v>68</v>
      </c>
      <c r="C4" s="8" t="s">
        <v>69</v>
      </c>
    </row>
    <row r="5" customFormat="false" ht="15" hidden="false" customHeight="false" outlineLevel="0" collapsed="false">
      <c r="A5" s="2" t="n">
        <v>10</v>
      </c>
      <c r="B5" s="2" t="n">
        <v>0.0004</v>
      </c>
      <c r="C5" s="2" t="n">
        <v>2.0766</v>
      </c>
    </row>
    <row r="6" customFormat="false" ht="15" hidden="false" customHeight="false" outlineLevel="0" collapsed="false">
      <c r="A6" s="2" t="n">
        <v>25</v>
      </c>
      <c r="B6" s="2" t="n">
        <v>0.001</v>
      </c>
      <c r="C6" s="2" t="n">
        <v>1.9185</v>
      </c>
    </row>
    <row r="7" customFormat="false" ht="15" hidden="false" customHeight="false" outlineLevel="0" collapsed="false">
      <c r="A7" s="2" t="n">
        <v>50</v>
      </c>
      <c r="B7" s="2" t="n">
        <v>0.0031</v>
      </c>
      <c r="C7" s="2" t="n">
        <v>1.6865</v>
      </c>
    </row>
    <row r="8" customFormat="false" ht="15" hidden="false" customHeight="false" outlineLevel="0" collapsed="false">
      <c r="A8" s="2" t="n">
        <v>75</v>
      </c>
      <c r="B8" s="2" t="n">
        <v>0.0082</v>
      </c>
      <c r="C8" s="2" t="n">
        <v>1.4978</v>
      </c>
    </row>
    <row r="9" customFormat="false" ht="15" hidden="false" customHeight="false" outlineLevel="0" collapsed="false">
      <c r="A9" s="2" t="n">
        <v>100</v>
      </c>
      <c r="B9" s="2" t="n">
        <v>0.014</v>
      </c>
      <c r="C9" s="2" t="n">
        <v>1.4004</v>
      </c>
    </row>
    <row r="10" customFormat="false" ht="15" hidden="false" customHeight="false" outlineLevel="0" collapsed="false">
      <c r="A10" s="2" t="n">
        <v>125</v>
      </c>
      <c r="B10" s="2" t="n">
        <v>0.02</v>
      </c>
      <c r="C10" s="2" t="n">
        <v>1.3399</v>
      </c>
    </row>
    <row r="11" customFormat="false" ht="15" hidden="false" customHeight="false" outlineLevel="0" collapsed="false">
      <c r="A11" s="2" t="n">
        <v>150</v>
      </c>
      <c r="B11" s="2" t="n">
        <v>0.0297</v>
      </c>
      <c r="C11" s="2" t="n">
        <v>1.2712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2026-10-26T04:53:54Z</dcterms:created>
  <dc:creator>openpyxl</dc:creator>
  <dc:description/>
  <dc:language>en-US</dc:language>
  <cp:lastModifiedBy/>
  <dcterms:modified xsi:type="dcterms:W3CDTF">2026-10-26T04:53:54Z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